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libertytax1-my.sharepoint.com/personal/jmanriquez_communitytax_com/Documents/Desktop/BDR/BDR Commission/"/>
    </mc:Choice>
  </mc:AlternateContent>
  <xr:revisionPtr revIDLastSave="1" documentId="8_{460340D0-4AD9-42A8-9F34-81EC35C45CB0}" xr6:coauthVersionLast="47" xr6:coauthVersionMax="47" xr10:uidLastSave="{3700356A-03C6-4CC7-80F4-67DE77E82B23}"/>
  <bookViews>
    <workbookView xWindow="-120" yWindow="-120" windowWidth="20730" windowHeight="11040" xr2:uid="{00000000-000D-0000-FFFF-FFFF00000000}"/>
  </bookViews>
  <sheets>
    <sheet name="Data" sheetId="1" r:id="rId1"/>
    <sheet name="Summary" sheetId="2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9" i="2" l="1"/>
  <c r="J209" i="2"/>
  <c r="I209" i="2"/>
  <c r="H209" i="2"/>
  <c r="G209" i="2"/>
  <c r="F209" i="2"/>
  <c r="E209" i="2"/>
  <c r="D209" i="2"/>
  <c r="C209" i="2"/>
  <c r="B209" i="2"/>
  <c r="K208" i="2"/>
  <c r="J208" i="2"/>
  <c r="I208" i="2"/>
  <c r="H208" i="2"/>
  <c r="G208" i="2"/>
  <c r="F208" i="2"/>
  <c r="E208" i="2"/>
  <c r="D208" i="2"/>
  <c r="C208" i="2"/>
  <c r="B208" i="2"/>
  <c r="K207" i="2"/>
  <c r="J207" i="2"/>
  <c r="I207" i="2"/>
  <c r="H207" i="2"/>
  <c r="G207" i="2"/>
  <c r="F207" i="2"/>
  <c r="E207" i="2"/>
  <c r="D207" i="2"/>
  <c r="C207" i="2"/>
  <c r="B207" i="2"/>
  <c r="K206" i="2"/>
  <c r="J206" i="2"/>
  <c r="I206" i="2"/>
  <c r="H206" i="2"/>
  <c r="G206" i="2"/>
  <c r="F206" i="2"/>
  <c r="E206" i="2"/>
  <c r="D206" i="2"/>
  <c r="C206" i="2"/>
  <c r="B206" i="2"/>
  <c r="K205" i="2"/>
  <c r="J205" i="2"/>
  <c r="I205" i="2"/>
  <c r="H205" i="2"/>
  <c r="G205" i="2"/>
  <c r="F205" i="2"/>
  <c r="E205" i="2"/>
  <c r="D205" i="2"/>
  <c r="C205" i="2"/>
  <c r="B205" i="2"/>
  <c r="K204" i="2"/>
  <c r="J204" i="2"/>
  <c r="I204" i="2"/>
  <c r="H204" i="2"/>
  <c r="G204" i="2"/>
  <c r="F204" i="2"/>
  <c r="E204" i="2"/>
  <c r="D204" i="2"/>
  <c r="C204" i="2"/>
  <c r="B204" i="2"/>
  <c r="K203" i="2"/>
  <c r="J203" i="2"/>
  <c r="I203" i="2"/>
  <c r="H203" i="2"/>
  <c r="G203" i="2"/>
  <c r="F203" i="2"/>
  <c r="E203" i="2"/>
  <c r="D203" i="2"/>
  <c r="C203" i="2"/>
  <c r="B203" i="2"/>
  <c r="K202" i="2"/>
  <c r="J202" i="2"/>
  <c r="I202" i="2"/>
  <c r="H202" i="2"/>
  <c r="G202" i="2"/>
  <c r="F202" i="2"/>
  <c r="E202" i="2"/>
  <c r="D202" i="2"/>
  <c r="C202" i="2"/>
  <c r="B202" i="2"/>
  <c r="K201" i="2"/>
  <c r="J201" i="2"/>
  <c r="I201" i="2"/>
  <c r="H201" i="2"/>
  <c r="G201" i="2"/>
  <c r="F201" i="2"/>
  <c r="E201" i="2"/>
  <c r="D201" i="2"/>
  <c r="C201" i="2"/>
  <c r="B201" i="2"/>
  <c r="K200" i="2"/>
  <c r="J200" i="2"/>
  <c r="I200" i="2"/>
  <c r="H200" i="2"/>
  <c r="G200" i="2"/>
  <c r="F200" i="2"/>
  <c r="E200" i="2"/>
  <c r="D200" i="2"/>
  <c r="C200" i="2"/>
  <c r="B200" i="2"/>
  <c r="K199" i="2"/>
  <c r="J199" i="2"/>
  <c r="I199" i="2"/>
  <c r="H199" i="2"/>
  <c r="G199" i="2"/>
  <c r="F199" i="2"/>
  <c r="E199" i="2"/>
  <c r="D199" i="2"/>
  <c r="C199" i="2"/>
  <c r="B199" i="2"/>
  <c r="K198" i="2"/>
  <c r="J198" i="2"/>
  <c r="I198" i="2"/>
  <c r="H198" i="2"/>
  <c r="G198" i="2"/>
  <c r="F198" i="2"/>
  <c r="E198" i="2"/>
  <c r="D198" i="2"/>
  <c r="C198" i="2"/>
  <c r="B198" i="2"/>
  <c r="K197" i="2"/>
  <c r="J197" i="2"/>
  <c r="I197" i="2"/>
  <c r="H197" i="2"/>
  <c r="G197" i="2"/>
  <c r="F197" i="2"/>
  <c r="E197" i="2"/>
  <c r="D197" i="2"/>
  <c r="C197" i="2"/>
  <c r="B197" i="2"/>
  <c r="K196" i="2"/>
  <c r="J196" i="2"/>
  <c r="I196" i="2"/>
  <c r="H196" i="2"/>
  <c r="G196" i="2"/>
  <c r="F196" i="2"/>
  <c r="E196" i="2"/>
  <c r="D196" i="2"/>
  <c r="C196" i="2"/>
  <c r="B196" i="2"/>
  <c r="K195" i="2"/>
  <c r="J195" i="2"/>
  <c r="I195" i="2"/>
  <c r="H195" i="2"/>
  <c r="G195" i="2"/>
  <c r="F195" i="2"/>
  <c r="E195" i="2"/>
  <c r="D195" i="2"/>
  <c r="C195" i="2"/>
  <c r="B195" i="2"/>
  <c r="K194" i="2"/>
  <c r="J194" i="2"/>
  <c r="I194" i="2"/>
  <c r="H194" i="2"/>
  <c r="G194" i="2"/>
  <c r="F194" i="2"/>
  <c r="E194" i="2"/>
  <c r="D194" i="2"/>
  <c r="C194" i="2"/>
  <c r="B194" i="2"/>
  <c r="K193" i="2"/>
  <c r="J193" i="2"/>
  <c r="I193" i="2"/>
  <c r="H193" i="2"/>
  <c r="G193" i="2"/>
  <c r="F193" i="2"/>
  <c r="E193" i="2"/>
  <c r="D193" i="2"/>
  <c r="C193" i="2"/>
  <c r="B193" i="2"/>
  <c r="K192" i="2"/>
  <c r="J192" i="2"/>
  <c r="I192" i="2"/>
  <c r="H192" i="2"/>
  <c r="G192" i="2"/>
  <c r="F192" i="2"/>
  <c r="E192" i="2"/>
  <c r="D192" i="2"/>
  <c r="C192" i="2"/>
  <c r="B192" i="2"/>
  <c r="K191" i="2"/>
  <c r="J191" i="2"/>
  <c r="I191" i="2"/>
  <c r="H191" i="2"/>
  <c r="G191" i="2"/>
  <c r="F191" i="2"/>
  <c r="E191" i="2"/>
  <c r="D191" i="2"/>
  <c r="C191" i="2"/>
  <c r="B191" i="2"/>
  <c r="K190" i="2"/>
  <c r="J190" i="2"/>
  <c r="I190" i="2"/>
  <c r="H190" i="2"/>
  <c r="G190" i="2"/>
  <c r="F190" i="2"/>
  <c r="E190" i="2"/>
  <c r="D190" i="2"/>
  <c r="C190" i="2"/>
  <c r="B190" i="2"/>
  <c r="K189" i="2"/>
  <c r="J189" i="2"/>
  <c r="I189" i="2"/>
  <c r="H189" i="2"/>
  <c r="G189" i="2"/>
  <c r="F189" i="2"/>
  <c r="E189" i="2"/>
  <c r="D189" i="2"/>
  <c r="C189" i="2"/>
  <c r="B189" i="2"/>
  <c r="K188" i="2"/>
  <c r="J188" i="2"/>
  <c r="I188" i="2"/>
  <c r="H188" i="2"/>
  <c r="G188" i="2"/>
  <c r="F188" i="2"/>
  <c r="E188" i="2"/>
  <c r="D188" i="2"/>
  <c r="C188" i="2"/>
  <c r="B188" i="2"/>
  <c r="K187" i="2"/>
  <c r="J187" i="2"/>
  <c r="I187" i="2"/>
  <c r="H187" i="2"/>
  <c r="G187" i="2"/>
  <c r="F187" i="2"/>
  <c r="E187" i="2"/>
  <c r="D187" i="2"/>
  <c r="C187" i="2"/>
  <c r="B187" i="2"/>
  <c r="K186" i="2"/>
  <c r="J186" i="2"/>
  <c r="I186" i="2"/>
  <c r="H186" i="2"/>
  <c r="G186" i="2"/>
  <c r="F186" i="2"/>
  <c r="E186" i="2"/>
  <c r="D186" i="2"/>
  <c r="C186" i="2"/>
  <c r="B186" i="2"/>
  <c r="K185" i="2"/>
  <c r="J185" i="2"/>
  <c r="I185" i="2"/>
  <c r="H185" i="2"/>
  <c r="G185" i="2"/>
  <c r="F185" i="2"/>
  <c r="E185" i="2"/>
  <c r="D185" i="2"/>
  <c r="C185" i="2"/>
  <c r="B185" i="2"/>
  <c r="K184" i="2"/>
  <c r="J184" i="2"/>
  <c r="I184" i="2"/>
  <c r="H184" i="2"/>
  <c r="G184" i="2"/>
  <c r="F184" i="2"/>
  <c r="E184" i="2"/>
  <c r="D184" i="2"/>
  <c r="C184" i="2"/>
  <c r="B184" i="2"/>
  <c r="K183" i="2"/>
  <c r="J183" i="2"/>
  <c r="I183" i="2"/>
  <c r="H183" i="2"/>
  <c r="G183" i="2"/>
  <c r="F183" i="2"/>
  <c r="E183" i="2"/>
  <c r="D183" i="2"/>
  <c r="C183" i="2"/>
  <c r="B183" i="2"/>
  <c r="K182" i="2"/>
  <c r="J182" i="2"/>
  <c r="I182" i="2"/>
  <c r="H182" i="2"/>
  <c r="G182" i="2"/>
  <c r="F182" i="2"/>
  <c r="E182" i="2"/>
  <c r="D182" i="2"/>
  <c r="C182" i="2"/>
  <c r="B182" i="2"/>
  <c r="K181" i="2"/>
  <c r="J181" i="2"/>
  <c r="I181" i="2"/>
  <c r="H181" i="2"/>
  <c r="G181" i="2"/>
  <c r="F181" i="2"/>
  <c r="E181" i="2"/>
  <c r="D181" i="2"/>
  <c r="C181" i="2"/>
  <c r="B181" i="2"/>
  <c r="K180" i="2"/>
  <c r="J180" i="2"/>
  <c r="I180" i="2"/>
  <c r="H180" i="2"/>
  <c r="G180" i="2"/>
  <c r="F180" i="2"/>
  <c r="E180" i="2"/>
  <c r="D180" i="2"/>
  <c r="C180" i="2"/>
  <c r="B180" i="2"/>
  <c r="K179" i="2"/>
  <c r="J179" i="2"/>
  <c r="I179" i="2"/>
  <c r="H179" i="2"/>
  <c r="G179" i="2"/>
  <c r="F179" i="2"/>
  <c r="E179" i="2"/>
  <c r="D179" i="2"/>
  <c r="C179" i="2"/>
  <c r="B179" i="2"/>
  <c r="K178" i="2"/>
  <c r="J178" i="2"/>
  <c r="I178" i="2"/>
  <c r="H178" i="2"/>
  <c r="G178" i="2"/>
  <c r="F178" i="2"/>
  <c r="E178" i="2"/>
  <c r="D178" i="2"/>
  <c r="C178" i="2"/>
  <c r="B178" i="2"/>
  <c r="K177" i="2"/>
  <c r="J177" i="2"/>
  <c r="I177" i="2"/>
  <c r="H177" i="2"/>
  <c r="G177" i="2"/>
  <c r="F177" i="2"/>
  <c r="E177" i="2"/>
  <c r="D177" i="2"/>
  <c r="C177" i="2"/>
  <c r="B177" i="2"/>
  <c r="K176" i="2"/>
  <c r="J176" i="2"/>
  <c r="I176" i="2"/>
  <c r="H176" i="2"/>
  <c r="G176" i="2"/>
  <c r="F176" i="2"/>
  <c r="E176" i="2"/>
  <c r="D176" i="2"/>
  <c r="C176" i="2"/>
  <c r="B176" i="2"/>
  <c r="K175" i="2"/>
  <c r="J175" i="2"/>
  <c r="I175" i="2"/>
  <c r="H175" i="2"/>
  <c r="G175" i="2"/>
  <c r="F175" i="2"/>
  <c r="E175" i="2"/>
  <c r="D175" i="2"/>
  <c r="C175" i="2"/>
  <c r="B175" i="2"/>
  <c r="K174" i="2"/>
  <c r="J174" i="2"/>
  <c r="I174" i="2"/>
  <c r="H174" i="2"/>
  <c r="G174" i="2"/>
  <c r="F174" i="2"/>
  <c r="E174" i="2"/>
  <c r="D174" i="2"/>
  <c r="C174" i="2"/>
  <c r="B174" i="2"/>
  <c r="K173" i="2"/>
  <c r="J173" i="2"/>
  <c r="I173" i="2"/>
  <c r="H173" i="2"/>
  <c r="G173" i="2"/>
  <c r="F173" i="2"/>
  <c r="E173" i="2"/>
  <c r="D173" i="2"/>
  <c r="C173" i="2"/>
  <c r="B173" i="2"/>
  <c r="K172" i="2"/>
  <c r="J172" i="2"/>
  <c r="I172" i="2"/>
  <c r="H172" i="2"/>
  <c r="G172" i="2"/>
  <c r="F172" i="2"/>
  <c r="E172" i="2"/>
  <c r="D172" i="2"/>
  <c r="C172" i="2"/>
  <c r="B172" i="2"/>
  <c r="K171" i="2"/>
  <c r="J171" i="2"/>
  <c r="I171" i="2"/>
  <c r="H171" i="2"/>
  <c r="G171" i="2"/>
  <c r="F171" i="2"/>
  <c r="E171" i="2"/>
  <c r="D171" i="2"/>
  <c r="C171" i="2"/>
  <c r="B171" i="2"/>
  <c r="K170" i="2"/>
  <c r="J170" i="2"/>
  <c r="I170" i="2"/>
  <c r="H170" i="2"/>
  <c r="G170" i="2"/>
  <c r="F170" i="2"/>
  <c r="E170" i="2"/>
  <c r="D170" i="2"/>
  <c r="C170" i="2"/>
  <c r="B170" i="2"/>
  <c r="K169" i="2"/>
  <c r="J169" i="2"/>
  <c r="I169" i="2"/>
  <c r="H169" i="2"/>
  <c r="G169" i="2"/>
  <c r="F169" i="2"/>
  <c r="E169" i="2"/>
  <c r="D169" i="2"/>
  <c r="C169" i="2"/>
  <c r="B169" i="2"/>
  <c r="K168" i="2"/>
  <c r="J168" i="2"/>
  <c r="I168" i="2"/>
  <c r="H168" i="2"/>
  <c r="G168" i="2"/>
  <c r="F168" i="2"/>
  <c r="E168" i="2"/>
  <c r="D168" i="2"/>
  <c r="C168" i="2"/>
  <c r="B168" i="2"/>
  <c r="K167" i="2"/>
  <c r="J167" i="2"/>
  <c r="I167" i="2"/>
  <c r="H167" i="2"/>
  <c r="G167" i="2"/>
  <c r="F167" i="2"/>
  <c r="E167" i="2"/>
  <c r="D167" i="2"/>
  <c r="C167" i="2"/>
  <c r="B167" i="2"/>
  <c r="K166" i="2"/>
  <c r="J166" i="2"/>
  <c r="I166" i="2"/>
  <c r="H166" i="2"/>
  <c r="G166" i="2"/>
  <c r="F166" i="2"/>
  <c r="E166" i="2"/>
  <c r="D166" i="2"/>
  <c r="C166" i="2"/>
  <c r="B166" i="2"/>
  <c r="K165" i="2"/>
  <c r="J165" i="2"/>
  <c r="I165" i="2"/>
  <c r="H165" i="2"/>
  <c r="G165" i="2"/>
  <c r="F165" i="2"/>
  <c r="E165" i="2"/>
  <c r="D165" i="2"/>
  <c r="C165" i="2"/>
  <c r="B165" i="2"/>
  <c r="K164" i="2"/>
  <c r="J164" i="2"/>
  <c r="I164" i="2"/>
  <c r="H164" i="2"/>
  <c r="G164" i="2"/>
  <c r="F164" i="2"/>
  <c r="E164" i="2"/>
  <c r="D164" i="2"/>
  <c r="C164" i="2"/>
  <c r="B164" i="2"/>
  <c r="K163" i="2"/>
  <c r="J163" i="2"/>
  <c r="I163" i="2"/>
  <c r="H163" i="2"/>
  <c r="G163" i="2"/>
  <c r="F163" i="2"/>
  <c r="E163" i="2"/>
  <c r="D163" i="2"/>
  <c r="C163" i="2"/>
  <c r="B163" i="2"/>
  <c r="K162" i="2"/>
  <c r="J162" i="2"/>
  <c r="I162" i="2"/>
  <c r="H162" i="2"/>
  <c r="G162" i="2"/>
  <c r="F162" i="2"/>
  <c r="E162" i="2"/>
  <c r="D162" i="2"/>
  <c r="C162" i="2"/>
  <c r="B162" i="2"/>
  <c r="K161" i="2"/>
  <c r="J161" i="2"/>
  <c r="I161" i="2"/>
  <c r="H161" i="2"/>
  <c r="G161" i="2"/>
  <c r="F161" i="2"/>
  <c r="E161" i="2"/>
  <c r="D161" i="2"/>
  <c r="C161" i="2"/>
  <c r="B161" i="2"/>
  <c r="K160" i="2"/>
  <c r="J160" i="2"/>
  <c r="I160" i="2"/>
  <c r="H160" i="2"/>
  <c r="G160" i="2"/>
  <c r="F160" i="2"/>
  <c r="E160" i="2"/>
  <c r="D160" i="2"/>
  <c r="C160" i="2"/>
  <c r="B160" i="2"/>
  <c r="K159" i="2"/>
  <c r="J159" i="2"/>
  <c r="I159" i="2"/>
  <c r="H159" i="2"/>
  <c r="G159" i="2"/>
  <c r="F159" i="2"/>
  <c r="E159" i="2"/>
  <c r="D159" i="2"/>
  <c r="C159" i="2"/>
  <c r="B159" i="2"/>
  <c r="K158" i="2"/>
  <c r="J158" i="2"/>
  <c r="I158" i="2"/>
  <c r="H158" i="2"/>
  <c r="G158" i="2"/>
  <c r="F158" i="2"/>
  <c r="E158" i="2"/>
  <c r="D158" i="2"/>
  <c r="C158" i="2"/>
  <c r="B158" i="2"/>
  <c r="K157" i="2"/>
  <c r="J157" i="2"/>
  <c r="I157" i="2"/>
  <c r="H157" i="2"/>
  <c r="G157" i="2"/>
  <c r="F157" i="2"/>
  <c r="E157" i="2"/>
  <c r="D157" i="2"/>
  <c r="C157" i="2"/>
  <c r="B157" i="2"/>
  <c r="K156" i="2"/>
  <c r="J156" i="2"/>
  <c r="I156" i="2"/>
  <c r="H156" i="2"/>
  <c r="G156" i="2"/>
  <c r="F156" i="2"/>
  <c r="E156" i="2"/>
  <c r="D156" i="2"/>
  <c r="C156" i="2"/>
  <c r="B156" i="2"/>
  <c r="K155" i="2"/>
  <c r="J155" i="2"/>
  <c r="I155" i="2"/>
  <c r="H155" i="2"/>
  <c r="G155" i="2"/>
  <c r="F155" i="2"/>
  <c r="E155" i="2"/>
  <c r="D155" i="2"/>
  <c r="C155" i="2"/>
  <c r="B155" i="2"/>
  <c r="K154" i="2"/>
  <c r="J154" i="2"/>
  <c r="I154" i="2"/>
  <c r="H154" i="2"/>
  <c r="G154" i="2"/>
  <c r="F154" i="2"/>
  <c r="E154" i="2"/>
  <c r="D154" i="2"/>
  <c r="C154" i="2"/>
  <c r="B154" i="2"/>
  <c r="K153" i="2"/>
  <c r="J153" i="2"/>
  <c r="I153" i="2"/>
  <c r="H153" i="2"/>
  <c r="G153" i="2"/>
  <c r="F153" i="2"/>
  <c r="E153" i="2"/>
  <c r="D153" i="2"/>
  <c r="C153" i="2"/>
  <c r="B153" i="2"/>
  <c r="K152" i="2"/>
  <c r="J152" i="2"/>
  <c r="I152" i="2"/>
  <c r="H152" i="2"/>
  <c r="G152" i="2"/>
  <c r="F152" i="2"/>
  <c r="E152" i="2"/>
  <c r="D152" i="2"/>
  <c r="C152" i="2"/>
  <c r="B152" i="2"/>
  <c r="K151" i="2"/>
  <c r="J151" i="2"/>
  <c r="I151" i="2"/>
  <c r="H151" i="2"/>
  <c r="G151" i="2"/>
  <c r="F151" i="2"/>
  <c r="E151" i="2"/>
  <c r="D151" i="2"/>
  <c r="C151" i="2"/>
  <c r="B151" i="2"/>
  <c r="K150" i="2"/>
  <c r="J150" i="2"/>
  <c r="I150" i="2"/>
  <c r="H150" i="2"/>
  <c r="G150" i="2"/>
  <c r="F150" i="2"/>
  <c r="E150" i="2"/>
  <c r="D150" i="2"/>
  <c r="C150" i="2"/>
  <c r="B150" i="2"/>
  <c r="K149" i="2"/>
  <c r="J149" i="2"/>
  <c r="I149" i="2"/>
  <c r="H149" i="2"/>
  <c r="G149" i="2"/>
  <c r="F149" i="2"/>
  <c r="E149" i="2"/>
  <c r="D149" i="2"/>
  <c r="C149" i="2"/>
  <c r="B149" i="2"/>
  <c r="K148" i="2"/>
  <c r="J148" i="2"/>
  <c r="I148" i="2"/>
  <c r="H148" i="2"/>
  <c r="G148" i="2"/>
  <c r="F148" i="2"/>
  <c r="E148" i="2"/>
  <c r="D148" i="2"/>
  <c r="C148" i="2"/>
  <c r="B148" i="2"/>
  <c r="K147" i="2"/>
  <c r="J147" i="2"/>
  <c r="I147" i="2"/>
  <c r="H147" i="2"/>
  <c r="G147" i="2"/>
  <c r="F147" i="2"/>
  <c r="E147" i="2"/>
  <c r="D147" i="2"/>
  <c r="C147" i="2"/>
  <c r="B147" i="2"/>
  <c r="K146" i="2"/>
  <c r="J146" i="2"/>
  <c r="I146" i="2"/>
  <c r="H146" i="2"/>
  <c r="G146" i="2"/>
  <c r="F146" i="2"/>
  <c r="E146" i="2"/>
  <c r="D146" i="2"/>
  <c r="C146" i="2"/>
  <c r="B146" i="2"/>
  <c r="K145" i="2"/>
  <c r="J145" i="2"/>
  <c r="I145" i="2"/>
  <c r="H145" i="2"/>
  <c r="G145" i="2"/>
  <c r="F145" i="2"/>
  <c r="E145" i="2"/>
  <c r="D145" i="2"/>
  <c r="C145" i="2"/>
  <c r="B145" i="2"/>
  <c r="K144" i="2"/>
  <c r="J144" i="2"/>
  <c r="I144" i="2"/>
  <c r="H144" i="2"/>
  <c r="G144" i="2"/>
  <c r="F144" i="2"/>
  <c r="E144" i="2"/>
  <c r="D144" i="2"/>
  <c r="C144" i="2"/>
  <c r="B144" i="2"/>
  <c r="K143" i="2"/>
  <c r="J143" i="2"/>
  <c r="I143" i="2"/>
  <c r="H143" i="2"/>
  <c r="G143" i="2"/>
  <c r="F143" i="2"/>
  <c r="E143" i="2"/>
  <c r="D143" i="2"/>
  <c r="C143" i="2"/>
  <c r="B143" i="2"/>
  <c r="K142" i="2"/>
  <c r="J142" i="2"/>
  <c r="I142" i="2"/>
  <c r="H142" i="2"/>
  <c r="G142" i="2"/>
  <c r="F142" i="2"/>
  <c r="E142" i="2"/>
  <c r="D142" i="2"/>
  <c r="C142" i="2"/>
  <c r="B142" i="2"/>
  <c r="K141" i="2"/>
  <c r="J141" i="2"/>
  <c r="I141" i="2"/>
  <c r="H141" i="2"/>
  <c r="G141" i="2"/>
  <c r="F141" i="2"/>
  <c r="E141" i="2"/>
  <c r="D141" i="2"/>
  <c r="C141" i="2"/>
  <c r="B141" i="2"/>
  <c r="K140" i="2"/>
  <c r="J140" i="2"/>
  <c r="I140" i="2"/>
  <c r="H140" i="2"/>
  <c r="G140" i="2"/>
  <c r="F140" i="2"/>
  <c r="E140" i="2"/>
  <c r="D140" i="2"/>
  <c r="C140" i="2"/>
  <c r="B140" i="2"/>
  <c r="K139" i="2"/>
  <c r="J139" i="2"/>
  <c r="I139" i="2"/>
  <c r="H139" i="2"/>
  <c r="G139" i="2"/>
  <c r="F139" i="2"/>
  <c r="E139" i="2"/>
  <c r="D139" i="2"/>
  <c r="C139" i="2"/>
  <c r="B139" i="2"/>
  <c r="K138" i="2"/>
  <c r="J138" i="2"/>
  <c r="I138" i="2"/>
  <c r="H138" i="2"/>
  <c r="G138" i="2"/>
  <c r="F138" i="2"/>
  <c r="E138" i="2"/>
  <c r="D138" i="2"/>
  <c r="C138" i="2"/>
  <c r="B138" i="2"/>
  <c r="K137" i="2"/>
  <c r="J137" i="2"/>
  <c r="I137" i="2"/>
  <c r="H137" i="2"/>
  <c r="G137" i="2"/>
  <c r="F137" i="2"/>
  <c r="E137" i="2"/>
  <c r="D137" i="2"/>
  <c r="C137" i="2"/>
  <c r="B137" i="2"/>
  <c r="K136" i="2"/>
  <c r="J136" i="2"/>
  <c r="I136" i="2"/>
  <c r="H136" i="2"/>
  <c r="G136" i="2"/>
  <c r="F136" i="2"/>
  <c r="E136" i="2"/>
  <c r="D136" i="2"/>
  <c r="C136" i="2"/>
  <c r="B136" i="2"/>
  <c r="K135" i="2"/>
  <c r="J135" i="2"/>
  <c r="I135" i="2"/>
  <c r="H135" i="2"/>
  <c r="G135" i="2"/>
  <c r="F135" i="2"/>
  <c r="E135" i="2"/>
  <c r="D135" i="2"/>
  <c r="C135" i="2"/>
  <c r="B135" i="2"/>
  <c r="K134" i="2"/>
  <c r="J134" i="2"/>
  <c r="I134" i="2"/>
  <c r="H134" i="2"/>
  <c r="G134" i="2"/>
  <c r="F134" i="2"/>
  <c r="E134" i="2"/>
  <c r="D134" i="2"/>
  <c r="C134" i="2"/>
  <c r="B134" i="2"/>
  <c r="K133" i="2"/>
  <c r="J133" i="2"/>
  <c r="I133" i="2"/>
  <c r="H133" i="2"/>
  <c r="G133" i="2"/>
  <c r="F133" i="2"/>
  <c r="E133" i="2"/>
  <c r="D133" i="2"/>
  <c r="C133" i="2"/>
  <c r="B133" i="2"/>
  <c r="K132" i="2"/>
  <c r="J132" i="2"/>
  <c r="I132" i="2"/>
  <c r="H132" i="2"/>
  <c r="G132" i="2"/>
  <c r="F132" i="2"/>
  <c r="E132" i="2"/>
  <c r="D132" i="2"/>
  <c r="C132" i="2"/>
  <c r="B132" i="2"/>
  <c r="K131" i="2"/>
  <c r="J131" i="2"/>
  <c r="I131" i="2"/>
  <c r="H131" i="2"/>
  <c r="G131" i="2"/>
  <c r="F131" i="2"/>
  <c r="E131" i="2"/>
  <c r="D131" i="2"/>
  <c r="C131" i="2"/>
  <c r="B131" i="2"/>
  <c r="K130" i="2"/>
  <c r="J130" i="2"/>
  <c r="I130" i="2"/>
  <c r="H130" i="2"/>
  <c r="G130" i="2"/>
  <c r="F130" i="2"/>
  <c r="E130" i="2"/>
  <c r="D130" i="2"/>
  <c r="C130" i="2"/>
  <c r="B130" i="2"/>
  <c r="K129" i="2"/>
  <c r="J129" i="2"/>
  <c r="I129" i="2"/>
  <c r="H129" i="2"/>
  <c r="G129" i="2"/>
  <c r="F129" i="2"/>
  <c r="E129" i="2"/>
  <c r="D129" i="2"/>
  <c r="C129" i="2"/>
  <c r="B129" i="2"/>
  <c r="K128" i="2"/>
  <c r="J128" i="2"/>
  <c r="I128" i="2"/>
  <c r="H128" i="2"/>
  <c r="G128" i="2"/>
  <c r="F128" i="2"/>
  <c r="E128" i="2"/>
  <c r="D128" i="2"/>
  <c r="C128" i="2"/>
  <c r="B128" i="2"/>
  <c r="K127" i="2"/>
  <c r="J127" i="2"/>
  <c r="I127" i="2"/>
  <c r="H127" i="2"/>
  <c r="G127" i="2"/>
  <c r="F127" i="2"/>
  <c r="E127" i="2"/>
  <c r="D127" i="2"/>
  <c r="C127" i="2"/>
  <c r="B127" i="2"/>
  <c r="K126" i="2"/>
  <c r="J126" i="2"/>
  <c r="I126" i="2"/>
  <c r="H126" i="2"/>
  <c r="G126" i="2"/>
  <c r="F126" i="2"/>
  <c r="E126" i="2"/>
  <c r="D126" i="2"/>
  <c r="C126" i="2"/>
  <c r="B126" i="2"/>
  <c r="K125" i="2"/>
  <c r="J125" i="2"/>
  <c r="I125" i="2"/>
  <c r="H125" i="2"/>
  <c r="G125" i="2"/>
  <c r="F125" i="2"/>
  <c r="E125" i="2"/>
  <c r="D125" i="2"/>
  <c r="C125" i="2"/>
  <c r="B125" i="2"/>
  <c r="K124" i="2"/>
  <c r="J124" i="2"/>
  <c r="I124" i="2"/>
  <c r="H124" i="2"/>
  <c r="G124" i="2"/>
  <c r="F124" i="2"/>
  <c r="E124" i="2"/>
  <c r="D124" i="2"/>
  <c r="C124" i="2"/>
  <c r="B124" i="2"/>
  <c r="K123" i="2"/>
  <c r="J123" i="2"/>
  <c r="I123" i="2"/>
  <c r="H123" i="2"/>
  <c r="G123" i="2"/>
  <c r="F123" i="2"/>
  <c r="E123" i="2"/>
  <c r="D123" i="2"/>
  <c r="C123" i="2"/>
  <c r="B123" i="2"/>
  <c r="K122" i="2"/>
  <c r="J122" i="2"/>
  <c r="I122" i="2"/>
  <c r="H122" i="2"/>
  <c r="G122" i="2"/>
  <c r="F122" i="2"/>
  <c r="E122" i="2"/>
  <c r="D122" i="2"/>
  <c r="C122" i="2"/>
  <c r="B122" i="2"/>
  <c r="K121" i="2"/>
  <c r="J121" i="2"/>
  <c r="I121" i="2"/>
  <c r="H121" i="2"/>
  <c r="G121" i="2"/>
  <c r="F121" i="2"/>
  <c r="E121" i="2"/>
  <c r="D121" i="2"/>
  <c r="C121" i="2"/>
  <c r="B121" i="2"/>
  <c r="K120" i="2"/>
  <c r="J120" i="2"/>
  <c r="I120" i="2"/>
  <c r="H120" i="2"/>
  <c r="G120" i="2"/>
  <c r="F120" i="2"/>
  <c r="E120" i="2"/>
  <c r="D120" i="2"/>
  <c r="C120" i="2"/>
  <c r="B120" i="2"/>
  <c r="K119" i="2"/>
  <c r="J119" i="2"/>
  <c r="I119" i="2"/>
  <c r="H119" i="2"/>
  <c r="G119" i="2"/>
  <c r="F119" i="2"/>
  <c r="E119" i="2"/>
  <c r="D119" i="2"/>
  <c r="C119" i="2"/>
  <c r="B119" i="2"/>
  <c r="K118" i="2"/>
  <c r="J118" i="2"/>
  <c r="I118" i="2"/>
  <c r="H118" i="2"/>
  <c r="G118" i="2"/>
  <c r="F118" i="2"/>
  <c r="E118" i="2"/>
  <c r="D118" i="2"/>
  <c r="C118" i="2"/>
  <c r="B118" i="2"/>
  <c r="K117" i="2"/>
  <c r="J117" i="2"/>
  <c r="I117" i="2"/>
  <c r="H117" i="2"/>
  <c r="G117" i="2"/>
  <c r="F117" i="2"/>
  <c r="E117" i="2"/>
  <c r="D117" i="2"/>
  <c r="C117" i="2"/>
  <c r="B117" i="2"/>
  <c r="K116" i="2"/>
  <c r="J116" i="2"/>
  <c r="I116" i="2"/>
  <c r="H116" i="2"/>
  <c r="G116" i="2"/>
  <c r="F116" i="2"/>
  <c r="E116" i="2"/>
  <c r="D116" i="2"/>
  <c r="C116" i="2"/>
  <c r="B116" i="2"/>
  <c r="K115" i="2"/>
  <c r="J115" i="2"/>
  <c r="I115" i="2"/>
  <c r="H115" i="2"/>
  <c r="G115" i="2"/>
  <c r="F115" i="2"/>
  <c r="E115" i="2"/>
  <c r="D115" i="2"/>
  <c r="C115" i="2"/>
  <c r="B115" i="2"/>
  <c r="K114" i="2"/>
  <c r="J114" i="2"/>
  <c r="I114" i="2"/>
  <c r="H114" i="2"/>
  <c r="G114" i="2"/>
  <c r="F114" i="2"/>
  <c r="E114" i="2"/>
  <c r="D114" i="2"/>
  <c r="C114" i="2"/>
  <c r="B114" i="2"/>
  <c r="K113" i="2"/>
  <c r="J113" i="2"/>
  <c r="I113" i="2"/>
  <c r="H113" i="2"/>
  <c r="G113" i="2"/>
  <c r="F113" i="2"/>
  <c r="E113" i="2"/>
  <c r="D113" i="2"/>
  <c r="C113" i="2"/>
  <c r="B113" i="2"/>
  <c r="K112" i="2"/>
  <c r="J112" i="2"/>
  <c r="I112" i="2"/>
  <c r="H112" i="2"/>
  <c r="G112" i="2"/>
  <c r="F112" i="2"/>
  <c r="E112" i="2"/>
  <c r="D112" i="2"/>
  <c r="C112" i="2"/>
  <c r="B112" i="2"/>
  <c r="K111" i="2"/>
  <c r="J111" i="2"/>
  <c r="I111" i="2"/>
  <c r="H111" i="2"/>
  <c r="G111" i="2"/>
  <c r="F111" i="2"/>
  <c r="E111" i="2"/>
  <c r="D111" i="2"/>
  <c r="C111" i="2"/>
  <c r="B111" i="2"/>
  <c r="K110" i="2"/>
  <c r="J110" i="2"/>
  <c r="I110" i="2"/>
  <c r="H110" i="2"/>
  <c r="G110" i="2"/>
  <c r="F110" i="2"/>
  <c r="E110" i="2"/>
  <c r="D110" i="2"/>
  <c r="C110" i="2"/>
  <c r="B110" i="2"/>
  <c r="K109" i="2"/>
  <c r="J109" i="2"/>
  <c r="I109" i="2"/>
  <c r="H109" i="2"/>
  <c r="G109" i="2"/>
  <c r="F109" i="2"/>
  <c r="E109" i="2"/>
  <c r="D109" i="2"/>
  <c r="C109" i="2"/>
  <c r="B109" i="2"/>
  <c r="K108" i="2"/>
  <c r="J108" i="2"/>
  <c r="I108" i="2"/>
  <c r="H108" i="2"/>
  <c r="G108" i="2"/>
  <c r="F108" i="2"/>
  <c r="E108" i="2"/>
  <c r="D108" i="2"/>
  <c r="C108" i="2"/>
  <c r="B108" i="2"/>
  <c r="K107" i="2"/>
  <c r="J107" i="2"/>
  <c r="I107" i="2"/>
  <c r="H107" i="2"/>
  <c r="G107" i="2"/>
  <c r="F107" i="2"/>
  <c r="E107" i="2"/>
  <c r="D107" i="2"/>
  <c r="C107" i="2"/>
  <c r="B107" i="2"/>
  <c r="K106" i="2"/>
  <c r="J106" i="2"/>
  <c r="I106" i="2"/>
  <c r="H106" i="2"/>
  <c r="G106" i="2"/>
  <c r="F106" i="2"/>
  <c r="E106" i="2"/>
  <c r="D106" i="2"/>
  <c r="C106" i="2"/>
  <c r="B106" i="2"/>
  <c r="K105" i="2"/>
  <c r="J105" i="2"/>
  <c r="I105" i="2"/>
  <c r="H105" i="2"/>
  <c r="G105" i="2"/>
  <c r="F105" i="2"/>
  <c r="E105" i="2"/>
  <c r="D105" i="2"/>
  <c r="C105" i="2"/>
  <c r="B105" i="2"/>
  <c r="K104" i="2"/>
  <c r="J104" i="2"/>
  <c r="I104" i="2"/>
  <c r="H104" i="2"/>
  <c r="G104" i="2"/>
  <c r="F104" i="2"/>
  <c r="E104" i="2"/>
  <c r="D104" i="2"/>
  <c r="C104" i="2"/>
  <c r="B104" i="2"/>
  <c r="K103" i="2"/>
  <c r="J103" i="2"/>
  <c r="I103" i="2"/>
  <c r="H103" i="2"/>
  <c r="G103" i="2"/>
  <c r="F103" i="2"/>
  <c r="E103" i="2"/>
  <c r="D103" i="2"/>
  <c r="C103" i="2"/>
  <c r="B103" i="2"/>
  <c r="K102" i="2"/>
  <c r="J102" i="2"/>
  <c r="I102" i="2"/>
  <c r="H102" i="2"/>
  <c r="G102" i="2"/>
  <c r="F102" i="2"/>
  <c r="E102" i="2"/>
  <c r="D102" i="2"/>
  <c r="C102" i="2"/>
  <c r="B102" i="2"/>
  <c r="K101" i="2"/>
  <c r="J101" i="2"/>
  <c r="I101" i="2"/>
  <c r="H101" i="2"/>
  <c r="G101" i="2"/>
  <c r="F101" i="2"/>
  <c r="E101" i="2"/>
  <c r="D101" i="2"/>
  <c r="C101" i="2"/>
  <c r="B101" i="2"/>
  <c r="K100" i="2"/>
  <c r="J100" i="2"/>
  <c r="I100" i="2"/>
  <c r="H100" i="2"/>
  <c r="G100" i="2"/>
  <c r="F100" i="2"/>
  <c r="E100" i="2"/>
  <c r="D100" i="2"/>
  <c r="C100" i="2"/>
  <c r="B100" i="2"/>
  <c r="K99" i="2"/>
  <c r="J99" i="2"/>
  <c r="I99" i="2"/>
  <c r="H99" i="2"/>
  <c r="G99" i="2"/>
  <c r="F99" i="2"/>
  <c r="E99" i="2"/>
  <c r="D99" i="2"/>
  <c r="C99" i="2"/>
  <c r="B99" i="2"/>
  <c r="K98" i="2"/>
  <c r="J98" i="2"/>
  <c r="I98" i="2"/>
  <c r="H98" i="2"/>
  <c r="G98" i="2"/>
  <c r="F98" i="2"/>
  <c r="E98" i="2"/>
  <c r="D98" i="2"/>
  <c r="C98" i="2"/>
  <c r="B98" i="2"/>
  <c r="K97" i="2"/>
  <c r="J97" i="2"/>
  <c r="I97" i="2"/>
  <c r="H97" i="2"/>
  <c r="G97" i="2"/>
  <c r="F97" i="2"/>
  <c r="E97" i="2"/>
  <c r="D97" i="2"/>
  <c r="C97" i="2"/>
  <c r="B97" i="2"/>
  <c r="K96" i="2"/>
  <c r="J96" i="2"/>
  <c r="I96" i="2"/>
  <c r="H96" i="2"/>
  <c r="G96" i="2"/>
  <c r="F96" i="2"/>
  <c r="E96" i="2"/>
  <c r="D96" i="2"/>
  <c r="C96" i="2"/>
  <c r="B96" i="2"/>
  <c r="K95" i="2"/>
  <c r="J95" i="2"/>
  <c r="I95" i="2"/>
  <c r="H95" i="2"/>
  <c r="G95" i="2"/>
  <c r="F95" i="2"/>
  <c r="E95" i="2"/>
  <c r="D95" i="2"/>
  <c r="C95" i="2"/>
  <c r="B95" i="2"/>
  <c r="K94" i="2"/>
  <c r="J94" i="2"/>
  <c r="I94" i="2"/>
  <c r="H94" i="2"/>
  <c r="G94" i="2"/>
  <c r="F94" i="2"/>
  <c r="E94" i="2"/>
  <c r="D94" i="2"/>
  <c r="C94" i="2"/>
  <c r="B94" i="2"/>
  <c r="K93" i="2"/>
  <c r="J93" i="2"/>
  <c r="I93" i="2"/>
  <c r="H93" i="2"/>
  <c r="G93" i="2"/>
  <c r="F93" i="2"/>
  <c r="E93" i="2"/>
  <c r="D93" i="2"/>
  <c r="C93" i="2"/>
  <c r="B93" i="2"/>
  <c r="K92" i="2"/>
  <c r="J92" i="2"/>
  <c r="I92" i="2"/>
  <c r="H92" i="2"/>
  <c r="G92" i="2"/>
  <c r="F92" i="2"/>
  <c r="E92" i="2"/>
  <c r="D92" i="2"/>
  <c r="C92" i="2"/>
  <c r="B92" i="2"/>
  <c r="K91" i="2"/>
  <c r="J91" i="2"/>
  <c r="I91" i="2"/>
  <c r="H91" i="2"/>
  <c r="G91" i="2"/>
  <c r="F91" i="2"/>
  <c r="E91" i="2"/>
  <c r="D91" i="2"/>
  <c r="C91" i="2"/>
  <c r="B91" i="2"/>
  <c r="K90" i="2"/>
  <c r="J90" i="2"/>
  <c r="I90" i="2"/>
  <c r="H90" i="2"/>
  <c r="G90" i="2"/>
  <c r="F90" i="2"/>
  <c r="E90" i="2"/>
  <c r="D90" i="2"/>
  <c r="C90" i="2"/>
  <c r="B90" i="2"/>
  <c r="K89" i="2"/>
  <c r="J89" i="2"/>
  <c r="I89" i="2"/>
  <c r="H89" i="2"/>
  <c r="G89" i="2"/>
  <c r="F89" i="2"/>
  <c r="E89" i="2"/>
  <c r="D89" i="2"/>
  <c r="C89" i="2"/>
  <c r="B89" i="2"/>
  <c r="K88" i="2"/>
  <c r="J88" i="2"/>
  <c r="I88" i="2"/>
  <c r="H88" i="2"/>
  <c r="G88" i="2"/>
  <c r="F88" i="2"/>
  <c r="E88" i="2"/>
  <c r="D88" i="2"/>
  <c r="C88" i="2"/>
  <c r="B88" i="2"/>
  <c r="K87" i="2"/>
  <c r="J87" i="2"/>
  <c r="I87" i="2"/>
  <c r="H87" i="2"/>
  <c r="G87" i="2"/>
  <c r="F87" i="2"/>
  <c r="E87" i="2"/>
  <c r="D87" i="2"/>
  <c r="C87" i="2"/>
  <c r="B87" i="2"/>
  <c r="K86" i="2"/>
  <c r="J86" i="2"/>
  <c r="I86" i="2"/>
  <c r="H86" i="2"/>
  <c r="G86" i="2"/>
  <c r="F86" i="2"/>
  <c r="E86" i="2"/>
  <c r="D86" i="2"/>
  <c r="C86" i="2"/>
  <c r="B86" i="2"/>
  <c r="K85" i="2"/>
  <c r="J85" i="2"/>
  <c r="I85" i="2"/>
  <c r="H85" i="2"/>
  <c r="G85" i="2"/>
  <c r="F85" i="2"/>
  <c r="E85" i="2"/>
  <c r="D85" i="2"/>
  <c r="C85" i="2"/>
  <c r="B85" i="2"/>
  <c r="K84" i="2"/>
  <c r="J84" i="2"/>
  <c r="I84" i="2"/>
  <c r="H84" i="2"/>
  <c r="G84" i="2"/>
  <c r="F84" i="2"/>
  <c r="E84" i="2"/>
  <c r="D84" i="2"/>
  <c r="C84" i="2"/>
  <c r="B84" i="2"/>
  <c r="K83" i="2"/>
  <c r="J83" i="2"/>
  <c r="I83" i="2"/>
  <c r="H83" i="2"/>
  <c r="G83" i="2"/>
  <c r="F83" i="2"/>
  <c r="E83" i="2"/>
  <c r="D83" i="2"/>
  <c r="C83" i="2"/>
  <c r="B83" i="2"/>
  <c r="K82" i="2"/>
  <c r="J82" i="2"/>
  <c r="I82" i="2"/>
  <c r="H82" i="2"/>
  <c r="G82" i="2"/>
  <c r="F82" i="2"/>
  <c r="E82" i="2"/>
  <c r="D82" i="2"/>
  <c r="C82" i="2"/>
  <c r="B82" i="2"/>
  <c r="K81" i="2"/>
  <c r="J81" i="2"/>
  <c r="I81" i="2"/>
  <c r="H81" i="2"/>
  <c r="G81" i="2"/>
  <c r="F81" i="2"/>
  <c r="E81" i="2"/>
  <c r="D81" i="2"/>
  <c r="C81" i="2"/>
  <c r="B81" i="2"/>
  <c r="K80" i="2"/>
  <c r="J80" i="2"/>
  <c r="I80" i="2"/>
  <c r="H80" i="2"/>
  <c r="G80" i="2"/>
  <c r="F80" i="2"/>
  <c r="E80" i="2"/>
  <c r="D80" i="2"/>
  <c r="C80" i="2"/>
  <c r="B80" i="2"/>
  <c r="K79" i="2"/>
  <c r="J79" i="2"/>
  <c r="I79" i="2"/>
  <c r="H79" i="2"/>
  <c r="G79" i="2"/>
  <c r="F79" i="2"/>
  <c r="E79" i="2"/>
  <c r="D79" i="2"/>
  <c r="C79" i="2"/>
  <c r="B79" i="2"/>
  <c r="K78" i="2"/>
  <c r="J78" i="2"/>
  <c r="I78" i="2"/>
  <c r="H78" i="2"/>
  <c r="G78" i="2"/>
  <c r="F78" i="2"/>
  <c r="E78" i="2"/>
  <c r="D78" i="2"/>
  <c r="C78" i="2"/>
  <c r="B78" i="2"/>
  <c r="K77" i="2"/>
  <c r="J77" i="2"/>
  <c r="I77" i="2"/>
  <c r="H77" i="2"/>
  <c r="G77" i="2"/>
  <c r="F77" i="2"/>
  <c r="E77" i="2"/>
  <c r="D77" i="2"/>
  <c r="C77" i="2"/>
  <c r="B77" i="2"/>
  <c r="K76" i="2"/>
  <c r="J76" i="2"/>
  <c r="I76" i="2"/>
  <c r="H76" i="2"/>
  <c r="G76" i="2"/>
  <c r="F76" i="2"/>
  <c r="E76" i="2"/>
  <c r="D76" i="2"/>
  <c r="C76" i="2"/>
  <c r="B76" i="2"/>
  <c r="K75" i="2"/>
  <c r="J75" i="2"/>
  <c r="I75" i="2"/>
  <c r="H75" i="2"/>
  <c r="G75" i="2"/>
  <c r="F75" i="2"/>
  <c r="E75" i="2"/>
  <c r="D75" i="2"/>
  <c r="C75" i="2"/>
  <c r="B75" i="2"/>
  <c r="K74" i="2"/>
  <c r="J74" i="2"/>
  <c r="I74" i="2"/>
  <c r="H74" i="2"/>
  <c r="G74" i="2"/>
  <c r="F74" i="2"/>
  <c r="E74" i="2"/>
  <c r="D74" i="2"/>
  <c r="C74" i="2"/>
  <c r="B74" i="2"/>
  <c r="K73" i="2"/>
  <c r="J73" i="2"/>
  <c r="I73" i="2"/>
  <c r="H73" i="2"/>
  <c r="G73" i="2"/>
  <c r="F73" i="2"/>
  <c r="E73" i="2"/>
  <c r="D73" i="2"/>
  <c r="C73" i="2"/>
  <c r="B73" i="2"/>
  <c r="K72" i="2"/>
  <c r="J72" i="2"/>
  <c r="I72" i="2"/>
  <c r="H72" i="2"/>
  <c r="G72" i="2"/>
  <c r="F72" i="2"/>
  <c r="E72" i="2"/>
  <c r="D72" i="2"/>
  <c r="C72" i="2"/>
  <c r="B72" i="2"/>
  <c r="K71" i="2"/>
  <c r="J71" i="2"/>
  <c r="I71" i="2"/>
  <c r="H71" i="2"/>
  <c r="G71" i="2"/>
  <c r="F71" i="2"/>
  <c r="E71" i="2"/>
  <c r="D71" i="2"/>
  <c r="C71" i="2"/>
  <c r="B71" i="2"/>
  <c r="K70" i="2"/>
  <c r="J70" i="2"/>
  <c r="I70" i="2"/>
  <c r="H70" i="2"/>
  <c r="G70" i="2"/>
  <c r="F70" i="2"/>
  <c r="E70" i="2"/>
  <c r="D70" i="2"/>
  <c r="C70" i="2"/>
  <c r="B70" i="2"/>
  <c r="K69" i="2"/>
  <c r="J69" i="2"/>
  <c r="I69" i="2"/>
  <c r="H69" i="2"/>
  <c r="G69" i="2"/>
  <c r="F69" i="2"/>
  <c r="E69" i="2"/>
  <c r="D69" i="2"/>
  <c r="C69" i="2"/>
  <c r="B69" i="2"/>
  <c r="K68" i="2"/>
  <c r="J68" i="2"/>
  <c r="I68" i="2"/>
  <c r="H68" i="2"/>
  <c r="G68" i="2"/>
  <c r="F68" i="2"/>
  <c r="E68" i="2"/>
  <c r="D68" i="2"/>
  <c r="C68" i="2"/>
  <c r="B68" i="2"/>
  <c r="K67" i="2"/>
  <c r="J67" i="2"/>
  <c r="I67" i="2"/>
  <c r="H67" i="2"/>
  <c r="G67" i="2"/>
  <c r="F67" i="2"/>
  <c r="E67" i="2"/>
  <c r="D67" i="2"/>
  <c r="C67" i="2"/>
  <c r="B67" i="2"/>
  <c r="K66" i="2"/>
  <c r="J66" i="2"/>
  <c r="I66" i="2"/>
  <c r="H66" i="2"/>
  <c r="G66" i="2"/>
  <c r="F66" i="2"/>
  <c r="E66" i="2"/>
  <c r="D66" i="2"/>
  <c r="C66" i="2"/>
  <c r="B66" i="2"/>
  <c r="K65" i="2"/>
  <c r="J65" i="2"/>
  <c r="I65" i="2"/>
  <c r="H65" i="2"/>
  <c r="G65" i="2"/>
  <c r="F65" i="2"/>
  <c r="E65" i="2"/>
  <c r="D65" i="2"/>
  <c r="C65" i="2"/>
  <c r="B65" i="2"/>
  <c r="K64" i="2"/>
  <c r="J64" i="2"/>
  <c r="I64" i="2"/>
  <c r="H64" i="2"/>
  <c r="G64" i="2"/>
  <c r="F64" i="2"/>
  <c r="E64" i="2"/>
  <c r="D64" i="2"/>
  <c r="C64" i="2"/>
  <c r="B64" i="2"/>
  <c r="K63" i="2"/>
  <c r="J63" i="2"/>
  <c r="I63" i="2"/>
  <c r="H63" i="2"/>
  <c r="G63" i="2"/>
  <c r="F63" i="2"/>
  <c r="E63" i="2"/>
  <c r="D63" i="2"/>
  <c r="C63" i="2"/>
  <c r="B63" i="2"/>
  <c r="K62" i="2"/>
  <c r="J62" i="2"/>
  <c r="I62" i="2"/>
  <c r="H62" i="2"/>
  <c r="G62" i="2"/>
  <c r="F62" i="2"/>
  <c r="E62" i="2"/>
  <c r="D62" i="2"/>
  <c r="C62" i="2"/>
  <c r="B62" i="2"/>
  <c r="K61" i="2"/>
  <c r="J61" i="2"/>
  <c r="I61" i="2"/>
  <c r="H61" i="2"/>
  <c r="G61" i="2"/>
  <c r="F61" i="2"/>
  <c r="E61" i="2"/>
  <c r="D61" i="2"/>
  <c r="C61" i="2"/>
  <c r="B61" i="2"/>
  <c r="K60" i="2"/>
  <c r="J60" i="2"/>
  <c r="I60" i="2"/>
  <c r="H60" i="2"/>
  <c r="G60" i="2"/>
  <c r="F60" i="2"/>
  <c r="E60" i="2"/>
  <c r="D60" i="2"/>
  <c r="C60" i="2"/>
  <c r="B60" i="2"/>
  <c r="K59" i="2"/>
  <c r="J59" i="2"/>
  <c r="I59" i="2"/>
  <c r="H59" i="2"/>
  <c r="G59" i="2"/>
  <c r="F59" i="2"/>
  <c r="E59" i="2"/>
  <c r="D59" i="2"/>
  <c r="C59" i="2"/>
  <c r="B59" i="2"/>
  <c r="K58" i="2"/>
  <c r="J58" i="2"/>
  <c r="I58" i="2"/>
  <c r="H58" i="2"/>
  <c r="G58" i="2"/>
  <c r="F58" i="2"/>
  <c r="E58" i="2"/>
  <c r="D58" i="2"/>
  <c r="C58" i="2"/>
  <c r="B58" i="2"/>
  <c r="K57" i="2"/>
  <c r="J57" i="2"/>
  <c r="I57" i="2"/>
  <c r="H57" i="2"/>
  <c r="G57" i="2"/>
  <c r="F57" i="2"/>
  <c r="E57" i="2"/>
  <c r="D57" i="2"/>
  <c r="C57" i="2"/>
  <c r="B57" i="2"/>
  <c r="K56" i="2"/>
  <c r="J56" i="2"/>
  <c r="I56" i="2"/>
  <c r="H56" i="2"/>
  <c r="G56" i="2"/>
  <c r="F56" i="2"/>
  <c r="E56" i="2"/>
  <c r="D56" i="2"/>
  <c r="C56" i="2"/>
  <c r="B56" i="2"/>
  <c r="K55" i="2"/>
  <c r="J55" i="2"/>
  <c r="I55" i="2"/>
  <c r="H55" i="2"/>
  <c r="G55" i="2"/>
  <c r="F55" i="2"/>
  <c r="E55" i="2"/>
  <c r="D55" i="2"/>
  <c r="C55" i="2"/>
  <c r="B55" i="2"/>
  <c r="K54" i="2"/>
  <c r="J54" i="2"/>
  <c r="I54" i="2"/>
  <c r="H54" i="2"/>
  <c r="G54" i="2"/>
  <c r="F54" i="2"/>
  <c r="E54" i="2"/>
  <c r="D54" i="2"/>
  <c r="C54" i="2"/>
  <c r="B54" i="2"/>
  <c r="K53" i="2"/>
  <c r="J53" i="2"/>
  <c r="I53" i="2"/>
  <c r="H53" i="2"/>
  <c r="G53" i="2"/>
  <c r="F53" i="2"/>
  <c r="E53" i="2"/>
  <c r="D53" i="2"/>
  <c r="C53" i="2"/>
  <c r="B53" i="2"/>
  <c r="K52" i="2"/>
  <c r="J52" i="2"/>
  <c r="I52" i="2"/>
  <c r="H52" i="2"/>
  <c r="G52" i="2"/>
  <c r="F52" i="2"/>
  <c r="E52" i="2"/>
  <c r="D52" i="2"/>
  <c r="C52" i="2"/>
  <c r="B52" i="2"/>
  <c r="K51" i="2"/>
  <c r="J51" i="2"/>
  <c r="I51" i="2"/>
  <c r="H51" i="2"/>
  <c r="G51" i="2"/>
  <c r="F51" i="2"/>
  <c r="E51" i="2"/>
  <c r="D51" i="2"/>
  <c r="C51" i="2"/>
  <c r="B51" i="2"/>
  <c r="K50" i="2"/>
  <c r="J50" i="2"/>
  <c r="I50" i="2"/>
  <c r="H50" i="2"/>
  <c r="G50" i="2"/>
  <c r="F50" i="2"/>
  <c r="E50" i="2"/>
  <c r="D50" i="2"/>
  <c r="C50" i="2"/>
  <c r="B50" i="2"/>
  <c r="K49" i="2"/>
  <c r="J49" i="2"/>
  <c r="I49" i="2"/>
  <c r="H49" i="2"/>
  <c r="G49" i="2"/>
  <c r="F49" i="2"/>
  <c r="E49" i="2"/>
  <c r="D49" i="2"/>
  <c r="C49" i="2"/>
  <c r="B49" i="2"/>
  <c r="K48" i="2"/>
  <c r="J48" i="2"/>
  <c r="I48" i="2"/>
  <c r="H48" i="2"/>
  <c r="G48" i="2"/>
  <c r="F48" i="2"/>
  <c r="E48" i="2"/>
  <c r="D48" i="2"/>
  <c r="C48" i="2"/>
  <c r="B48" i="2"/>
  <c r="K47" i="2"/>
  <c r="J47" i="2"/>
  <c r="I47" i="2"/>
  <c r="H47" i="2"/>
  <c r="G47" i="2"/>
  <c r="F47" i="2"/>
  <c r="E47" i="2"/>
  <c r="D47" i="2"/>
  <c r="C47" i="2"/>
  <c r="B47" i="2"/>
  <c r="K46" i="2"/>
  <c r="J46" i="2"/>
  <c r="I46" i="2"/>
  <c r="H46" i="2"/>
  <c r="G46" i="2"/>
  <c r="F46" i="2"/>
  <c r="E46" i="2"/>
  <c r="D46" i="2"/>
  <c r="C46" i="2"/>
  <c r="B46" i="2"/>
  <c r="K45" i="2"/>
  <c r="J45" i="2"/>
  <c r="I45" i="2"/>
  <c r="H45" i="2"/>
  <c r="G45" i="2"/>
  <c r="F45" i="2"/>
  <c r="E45" i="2"/>
  <c r="D45" i="2"/>
  <c r="C45" i="2"/>
  <c r="B45" i="2"/>
  <c r="K44" i="2"/>
  <c r="J44" i="2"/>
  <c r="I44" i="2"/>
  <c r="H44" i="2"/>
  <c r="G44" i="2"/>
  <c r="F44" i="2"/>
  <c r="E44" i="2"/>
  <c r="D44" i="2"/>
  <c r="C44" i="2"/>
  <c r="B44" i="2"/>
  <c r="K43" i="2"/>
  <c r="J43" i="2"/>
  <c r="I43" i="2"/>
  <c r="H43" i="2"/>
  <c r="G43" i="2"/>
  <c r="F43" i="2"/>
  <c r="E43" i="2"/>
  <c r="D43" i="2"/>
  <c r="C43" i="2"/>
  <c r="B43" i="2"/>
  <c r="K42" i="2"/>
  <c r="J42" i="2"/>
  <c r="I42" i="2"/>
  <c r="H42" i="2"/>
  <c r="G42" i="2"/>
  <c r="F42" i="2"/>
  <c r="E42" i="2"/>
  <c r="D42" i="2"/>
  <c r="C42" i="2"/>
  <c r="B42" i="2"/>
  <c r="K41" i="2"/>
  <c r="J41" i="2"/>
  <c r="I41" i="2"/>
  <c r="H41" i="2"/>
  <c r="G41" i="2"/>
  <c r="F41" i="2"/>
  <c r="E41" i="2"/>
  <c r="D41" i="2"/>
  <c r="C41" i="2"/>
  <c r="B41" i="2"/>
  <c r="K40" i="2"/>
  <c r="J40" i="2"/>
  <c r="I40" i="2"/>
  <c r="H40" i="2"/>
  <c r="G40" i="2"/>
  <c r="F40" i="2"/>
  <c r="E40" i="2"/>
  <c r="D40" i="2"/>
  <c r="C40" i="2"/>
  <c r="B40" i="2"/>
  <c r="K39" i="2"/>
  <c r="J39" i="2"/>
  <c r="I39" i="2"/>
  <c r="H39" i="2"/>
  <c r="G39" i="2"/>
  <c r="F39" i="2"/>
  <c r="E39" i="2"/>
  <c r="D39" i="2"/>
  <c r="C39" i="2"/>
  <c r="B39" i="2"/>
  <c r="K38" i="2"/>
  <c r="J38" i="2"/>
  <c r="I38" i="2"/>
  <c r="H38" i="2"/>
  <c r="G38" i="2"/>
  <c r="F38" i="2"/>
  <c r="E38" i="2"/>
  <c r="D38" i="2"/>
  <c r="C38" i="2"/>
  <c r="B38" i="2"/>
  <c r="K37" i="2"/>
  <c r="J37" i="2"/>
  <c r="I37" i="2"/>
  <c r="H37" i="2"/>
  <c r="G37" i="2"/>
  <c r="F37" i="2"/>
  <c r="E37" i="2"/>
  <c r="D37" i="2"/>
  <c r="C37" i="2"/>
  <c r="B37" i="2"/>
  <c r="K36" i="2"/>
  <c r="J36" i="2"/>
  <c r="I36" i="2"/>
  <c r="H36" i="2"/>
  <c r="G36" i="2"/>
  <c r="F36" i="2"/>
  <c r="E36" i="2"/>
  <c r="D36" i="2"/>
  <c r="C36" i="2"/>
  <c r="B36" i="2"/>
  <c r="K35" i="2"/>
  <c r="J35" i="2"/>
  <c r="I35" i="2"/>
  <c r="H35" i="2"/>
  <c r="G35" i="2"/>
  <c r="F35" i="2"/>
  <c r="E35" i="2"/>
  <c r="D35" i="2"/>
  <c r="C35" i="2"/>
  <c r="B35" i="2"/>
  <c r="K34" i="2"/>
  <c r="J34" i="2"/>
  <c r="I34" i="2"/>
  <c r="H34" i="2"/>
  <c r="G34" i="2"/>
  <c r="F34" i="2"/>
  <c r="E34" i="2"/>
  <c r="D34" i="2"/>
  <c r="C34" i="2"/>
  <c r="B34" i="2"/>
  <c r="K33" i="2"/>
  <c r="J33" i="2"/>
  <c r="I33" i="2"/>
  <c r="H33" i="2"/>
  <c r="G33" i="2"/>
  <c r="F33" i="2"/>
  <c r="E33" i="2"/>
  <c r="D33" i="2"/>
  <c r="C33" i="2"/>
  <c r="B33" i="2"/>
  <c r="K32" i="2"/>
  <c r="J32" i="2"/>
  <c r="I32" i="2"/>
  <c r="H32" i="2"/>
  <c r="G32" i="2"/>
  <c r="F32" i="2"/>
  <c r="E32" i="2"/>
  <c r="D32" i="2"/>
  <c r="C32" i="2"/>
  <c r="B32" i="2"/>
  <c r="K31" i="2"/>
  <c r="J31" i="2"/>
  <c r="I31" i="2"/>
  <c r="H31" i="2"/>
  <c r="G31" i="2"/>
  <c r="F31" i="2"/>
  <c r="E31" i="2"/>
  <c r="D31" i="2"/>
  <c r="C31" i="2"/>
  <c r="B31" i="2"/>
  <c r="K30" i="2"/>
  <c r="J30" i="2"/>
  <c r="I30" i="2"/>
  <c r="H30" i="2"/>
  <c r="G30" i="2"/>
  <c r="F30" i="2"/>
  <c r="E30" i="2"/>
  <c r="D30" i="2"/>
  <c r="C30" i="2"/>
  <c r="B30" i="2"/>
  <c r="K29" i="2"/>
  <c r="J29" i="2"/>
  <c r="I29" i="2"/>
  <c r="H29" i="2"/>
  <c r="G29" i="2"/>
  <c r="F29" i="2"/>
  <c r="E29" i="2"/>
  <c r="D29" i="2"/>
  <c r="C29" i="2"/>
  <c r="B29" i="2"/>
  <c r="K28" i="2"/>
  <c r="J28" i="2"/>
  <c r="I28" i="2"/>
  <c r="H28" i="2"/>
  <c r="G28" i="2"/>
  <c r="F28" i="2"/>
  <c r="E28" i="2"/>
  <c r="D28" i="2"/>
  <c r="C28" i="2"/>
  <c r="B28" i="2"/>
  <c r="K27" i="2"/>
  <c r="J27" i="2"/>
  <c r="I27" i="2"/>
  <c r="H27" i="2"/>
  <c r="G27" i="2"/>
  <c r="F27" i="2"/>
  <c r="E27" i="2"/>
  <c r="D27" i="2"/>
  <c r="C27" i="2"/>
  <c r="B27" i="2"/>
  <c r="K26" i="2"/>
  <c r="J26" i="2"/>
  <c r="I26" i="2"/>
  <c r="H26" i="2"/>
  <c r="G26" i="2"/>
  <c r="F26" i="2"/>
  <c r="E26" i="2"/>
  <c r="D26" i="2"/>
  <c r="C26" i="2"/>
  <c r="B26" i="2"/>
  <c r="K25" i="2"/>
  <c r="J25" i="2"/>
  <c r="I25" i="2"/>
  <c r="H25" i="2"/>
  <c r="G25" i="2"/>
  <c r="F25" i="2"/>
  <c r="E25" i="2"/>
  <c r="D25" i="2"/>
  <c r="C25" i="2"/>
  <c r="B25" i="2"/>
  <c r="K24" i="2"/>
  <c r="J24" i="2"/>
  <c r="I24" i="2"/>
  <c r="H24" i="2"/>
  <c r="G24" i="2"/>
  <c r="F24" i="2"/>
  <c r="E24" i="2"/>
  <c r="D24" i="2"/>
  <c r="C24" i="2"/>
  <c r="B24" i="2"/>
  <c r="K23" i="2"/>
  <c r="J23" i="2"/>
  <c r="I23" i="2"/>
  <c r="H23" i="2"/>
  <c r="G23" i="2"/>
  <c r="F23" i="2"/>
  <c r="E23" i="2"/>
  <c r="D23" i="2"/>
  <c r="C23" i="2"/>
  <c r="B23" i="2"/>
  <c r="K22" i="2"/>
  <c r="J22" i="2"/>
  <c r="I22" i="2"/>
  <c r="H22" i="2"/>
  <c r="G22" i="2"/>
  <c r="F22" i="2"/>
  <c r="E22" i="2"/>
  <c r="D22" i="2"/>
  <c r="C22" i="2"/>
  <c r="B22" i="2"/>
  <c r="K21" i="2"/>
  <c r="J21" i="2"/>
  <c r="I21" i="2"/>
  <c r="H21" i="2"/>
  <c r="G21" i="2"/>
  <c r="F21" i="2"/>
  <c r="E21" i="2"/>
  <c r="D21" i="2"/>
  <c r="C21" i="2"/>
  <c r="B21" i="2"/>
  <c r="K20" i="2"/>
  <c r="J20" i="2"/>
  <c r="I20" i="2"/>
  <c r="H20" i="2"/>
  <c r="G20" i="2"/>
  <c r="F20" i="2"/>
  <c r="E20" i="2"/>
  <c r="D20" i="2"/>
  <c r="C20" i="2"/>
  <c r="B20" i="2"/>
  <c r="K19" i="2"/>
  <c r="J19" i="2"/>
  <c r="I19" i="2"/>
  <c r="H19" i="2"/>
  <c r="G19" i="2"/>
  <c r="F19" i="2"/>
  <c r="E19" i="2"/>
  <c r="D19" i="2"/>
  <c r="C19" i="2"/>
  <c r="B19" i="2"/>
  <c r="K18" i="2"/>
  <c r="J18" i="2"/>
  <c r="I18" i="2"/>
  <c r="H18" i="2"/>
  <c r="G18" i="2"/>
  <c r="F18" i="2"/>
  <c r="E18" i="2"/>
  <c r="D18" i="2"/>
  <c r="C18" i="2"/>
  <c r="B18" i="2"/>
  <c r="K17" i="2"/>
  <c r="J17" i="2"/>
  <c r="I17" i="2"/>
  <c r="H17" i="2"/>
  <c r="G17" i="2"/>
  <c r="F17" i="2"/>
  <c r="E17" i="2"/>
  <c r="D17" i="2"/>
  <c r="C17" i="2"/>
  <c r="B17" i="2"/>
  <c r="K16" i="2"/>
  <c r="J16" i="2"/>
  <c r="I16" i="2"/>
  <c r="H16" i="2"/>
  <c r="G16" i="2"/>
  <c r="F16" i="2"/>
  <c r="E16" i="2"/>
  <c r="D16" i="2"/>
  <c r="C16" i="2"/>
  <c r="B16" i="2"/>
  <c r="K15" i="2"/>
  <c r="J15" i="2"/>
  <c r="I15" i="2"/>
  <c r="H15" i="2"/>
  <c r="G15" i="2"/>
  <c r="F15" i="2"/>
  <c r="E15" i="2"/>
  <c r="D15" i="2"/>
  <c r="C15" i="2"/>
  <c r="B15" i="2"/>
  <c r="J14" i="2"/>
  <c r="I14" i="2"/>
  <c r="H14" i="2"/>
  <c r="G14" i="2"/>
  <c r="F14" i="2"/>
  <c r="E14" i="2"/>
  <c r="D14" i="2"/>
  <c r="C14" i="2"/>
  <c r="B14" i="2"/>
  <c r="J13" i="2"/>
  <c r="I13" i="2"/>
  <c r="H13" i="2"/>
  <c r="G13" i="2"/>
  <c r="F13" i="2"/>
  <c r="E13" i="2"/>
  <c r="D13" i="2"/>
  <c r="C13" i="2"/>
  <c r="B13" i="2"/>
  <c r="K13" i="2" s="1"/>
  <c r="J12" i="2"/>
  <c r="I12" i="2"/>
  <c r="H12" i="2"/>
  <c r="G12" i="2"/>
  <c r="F12" i="2"/>
  <c r="E12" i="2"/>
  <c r="D12" i="2"/>
  <c r="C12" i="2"/>
  <c r="B12" i="2"/>
  <c r="J11" i="2"/>
  <c r="I11" i="2"/>
  <c r="H11" i="2"/>
  <c r="G11" i="2"/>
  <c r="F11" i="2"/>
  <c r="E11" i="2"/>
  <c r="D11" i="2"/>
  <c r="C11" i="2"/>
  <c r="B11" i="2"/>
  <c r="J10" i="2"/>
  <c r="I10" i="2"/>
  <c r="H10" i="2"/>
  <c r="G10" i="2"/>
  <c r="F10" i="2"/>
  <c r="E10" i="2"/>
  <c r="D10" i="2"/>
  <c r="C10" i="2"/>
  <c r="B10" i="2"/>
  <c r="J1001" i="1"/>
  <c r="I1001" i="1"/>
  <c r="K1001" i="1" s="1"/>
  <c r="K1000" i="1"/>
  <c r="J1000" i="1"/>
  <c r="I1000" i="1"/>
  <c r="J999" i="1"/>
  <c r="K999" i="1" s="1"/>
  <c r="I999" i="1"/>
  <c r="J998" i="1"/>
  <c r="I998" i="1"/>
  <c r="K998" i="1" s="1"/>
  <c r="J997" i="1"/>
  <c r="I997" i="1"/>
  <c r="K997" i="1" s="1"/>
  <c r="J996" i="1"/>
  <c r="K996" i="1" s="1"/>
  <c r="I996" i="1"/>
  <c r="J995" i="1"/>
  <c r="I995" i="1"/>
  <c r="K995" i="1" s="1"/>
  <c r="J994" i="1"/>
  <c r="I994" i="1"/>
  <c r="K994" i="1" s="1"/>
  <c r="J993" i="1"/>
  <c r="I993" i="1"/>
  <c r="K993" i="1" s="1"/>
  <c r="J992" i="1"/>
  <c r="I992" i="1"/>
  <c r="K992" i="1" s="1"/>
  <c r="K991" i="1"/>
  <c r="J991" i="1"/>
  <c r="I991" i="1"/>
  <c r="K990" i="1"/>
  <c r="J990" i="1"/>
  <c r="I990" i="1"/>
  <c r="J989" i="1"/>
  <c r="I989" i="1"/>
  <c r="K989" i="1" s="1"/>
  <c r="J988" i="1"/>
  <c r="K988" i="1" s="1"/>
  <c r="I988" i="1"/>
  <c r="J987" i="1"/>
  <c r="K987" i="1" s="1"/>
  <c r="I987" i="1"/>
  <c r="J986" i="1"/>
  <c r="K986" i="1" s="1"/>
  <c r="I986" i="1"/>
  <c r="J985" i="1"/>
  <c r="I985" i="1"/>
  <c r="K985" i="1" s="1"/>
  <c r="J984" i="1"/>
  <c r="I984" i="1"/>
  <c r="K984" i="1" s="1"/>
  <c r="J983" i="1"/>
  <c r="I983" i="1"/>
  <c r="K983" i="1" s="1"/>
  <c r="J982" i="1"/>
  <c r="I982" i="1"/>
  <c r="K982" i="1" s="1"/>
  <c r="J981" i="1"/>
  <c r="I981" i="1"/>
  <c r="K981" i="1" s="1"/>
  <c r="K980" i="1"/>
  <c r="J980" i="1"/>
  <c r="I980" i="1"/>
  <c r="J979" i="1"/>
  <c r="I979" i="1"/>
  <c r="K979" i="1" s="1"/>
  <c r="K978" i="1"/>
  <c r="J978" i="1"/>
  <c r="I978" i="1"/>
  <c r="J977" i="1"/>
  <c r="I977" i="1"/>
  <c r="K976" i="1"/>
  <c r="J976" i="1"/>
  <c r="I976" i="1"/>
  <c r="J975" i="1"/>
  <c r="K975" i="1" s="1"/>
  <c r="I975" i="1"/>
  <c r="J974" i="1"/>
  <c r="K974" i="1" s="1"/>
  <c r="I974" i="1"/>
  <c r="J973" i="1"/>
  <c r="I973" i="1"/>
  <c r="K973" i="1" s="1"/>
  <c r="J972" i="1"/>
  <c r="I972" i="1"/>
  <c r="K972" i="1" s="1"/>
  <c r="J971" i="1"/>
  <c r="I971" i="1"/>
  <c r="K971" i="1" s="1"/>
  <c r="J970" i="1"/>
  <c r="I970" i="1"/>
  <c r="K970" i="1" s="1"/>
  <c r="J969" i="1"/>
  <c r="I969" i="1"/>
  <c r="K969" i="1" s="1"/>
  <c r="J968" i="1"/>
  <c r="I968" i="1"/>
  <c r="K968" i="1" s="1"/>
  <c r="K967" i="1"/>
  <c r="J967" i="1"/>
  <c r="I967" i="1"/>
  <c r="J966" i="1"/>
  <c r="I966" i="1"/>
  <c r="K966" i="1" s="1"/>
  <c r="J965" i="1"/>
  <c r="I965" i="1"/>
  <c r="J964" i="1"/>
  <c r="K964" i="1" s="1"/>
  <c r="I964" i="1"/>
  <c r="K963" i="1"/>
  <c r="J963" i="1"/>
  <c r="I963" i="1"/>
  <c r="J962" i="1"/>
  <c r="K962" i="1" s="1"/>
  <c r="I962" i="1"/>
  <c r="J961" i="1"/>
  <c r="I961" i="1"/>
  <c r="K961" i="1" s="1"/>
  <c r="J960" i="1"/>
  <c r="I960" i="1"/>
  <c r="K960" i="1" s="1"/>
  <c r="J959" i="1"/>
  <c r="I959" i="1"/>
  <c r="K959" i="1" s="1"/>
  <c r="J958" i="1"/>
  <c r="I958" i="1"/>
  <c r="K958" i="1" s="1"/>
  <c r="J957" i="1"/>
  <c r="I957" i="1"/>
  <c r="K957" i="1" s="1"/>
  <c r="K956" i="1"/>
  <c r="J956" i="1"/>
  <c r="I956" i="1"/>
  <c r="J955" i="1"/>
  <c r="I955" i="1"/>
  <c r="K955" i="1" s="1"/>
  <c r="K954" i="1"/>
  <c r="J954" i="1"/>
  <c r="I954" i="1"/>
  <c r="J953" i="1"/>
  <c r="I953" i="1"/>
  <c r="K952" i="1"/>
  <c r="J952" i="1"/>
  <c r="I952" i="1"/>
  <c r="J951" i="1"/>
  <c r="K951" i="1" s="1"/>
  <c r="I951" i="1"/>
  <c r="K950" i="1"/>
  <c r="J950" i="1"/>
  <c r="I950" i="1"/>
  <c r="J949" i="1"/>
  <c r="I949" i="1"/>
  <c r="K949" i="1" s="1"/>
  <c r="J948" i="1"/>
  <c r="I948" i="1"/>
  <c r="J947" i="1"/>
  <c r="I947" i="1"/>
  <c r="K947" i="1" s="1"/>
  <c r="J946" i="1"/>
  <c r="I946" i="1"/>
  <c r="K946" i="1" s="1"/>
  <c r="J945" i="1"/>
  <c r="I945" i="1"/>
  <c r="J944" i="1"/>
  <c r="I944" i="1"/>
  <c r="K944" i="1" s="1"/>
  <c r="K943" i="1"/>
  <c r="J943" i="1"/>
  <c r="I943" i="1"/>
  <c r="J942" i="1"/>
  <c r="I942" i="1"/>
  <c r="K942" i="1" s="1"/>
  <c r="J941" i="1"/>
  <c r="I941" i="1"/>
  <c r="J940" i="1"/>
  <c r="K940" i="1" s="1"/>
  <c r="I940" i="1"/>
  <c r="J939" i="1"/>
  <c r="K939" i="1" s="1"/>
  <c r="I939" i="1"/>
  <c r="J938" i="1"/>
  <c r="K938" i="1" s="1"/>
  <c r="I938" i="1"/>
  <c r="J937" i="1"/>
  <c r="I937" i="1"/>
  <c r="J936" i="1"/>
  <c r="I936" i="1"/>
  <c r="K936" i="1" s="1"/>
  <c r="J935" i="1"/>
  <c r="I935" i="1"/>
  <c r="K935" i="1" s="1"/>
  <c r="J934" i="1"/>
  <c r="I934" i="1"/>
  <c r="K934" i="1" s="1"/>
  <c r="J933" i="1"/>
  <c r="I933" i="1"/>
  <c r="K933" i="1" s="1"/>
  <c r="K932" i="1"/>
  <c r="J932" i="1"/>
  <c r="I932" i="1"/>
  <c r="J931" i="1"/>
  <c r="I931" i="1"/>
  <c r="K931" i="1" s="1"/>
  <c r="K930" i="1"/>
  <c r="J930" i="1"/>
  <c r="I930" i="1"/>
  <c r="J929" i="1"/>
  <c r="I929" i="1"/>
  <c r="K928" i="1"/>
  <c r="J928" i="1"/>
  <c r="I928" i="1"/>
  <c r="J927" i="1"/>
  <c r="K927" i="1" s="1"/>
  <c r="I927" i="1"/>
  <c r="J926" i="1"/>
  <c r="K926" i="1" s="1"/>
  <c r="I926" i="1"/>
  <c r="J925" i="1"/>
  <c r="I925" i="1"/>
  <c r="K925" i="1" s="1"/>
  <c r="J924" i="1"/>
  <c r="I924" i="1"/>
  <c r="K924" i="1" s="1"/>
  <c r="J923" i="1"/>
  <c r="I923" i="1"/>
  <c r="K923" i="1" s="1"/>
  <c r="J922" i="1"/>
  <c r="I922" i="1"/>
  <c r="K922" i="1" s="1"/>
  <c r="J921" i="1"/>
  <c r="I921" i="1"/>
  <c r="K921" i="1" s="1"/>
  <c r="J920" i="1"/>
  <c r="I920" i="1"/>
  <c r="K920" i="1" s="1"/>
  <c r="K919" i="1"/>
  <c r="J919" i="1"/>
  <c r="I919" i="1"/>
  <c r="J918" i="1"/>
  <c r="I918" i="1"/>
  <c r="K918" i="1" s="1"/>
  <c r="J917" i="1"/>
  <c r="I917" i="1"/>
  <c r="J916" i="1"/>
  <c r="K916" i="1" s="1"/>
  <c r="I916" i="1"/>
  <c r="K915" i="1"/>
  <c r="J915" i="1"/>
  <c r="I915" i="1"/>
  <c r="J914" i="1"/>
  <c r="K914" i="1" s="1"/>
  <c r="I914" i="1"/>
  <c r="J913" i="1"/>
  <c r="I913" i="1"/>
  <c r="K913" i="1" s="1"/>
  <c r="J912" i="1"/>
  <c r="I912" i="1"/>
  <c r="K912" i="1" s="1"/>
  <c r="J911" i="1"/>
  <c r="I911" i="1"/>
  <c r="K911" i="1" s="1"/>
  <c r="J910" i="1"/>
  <c r="I910" i="1"/>
  <c r="K910" i="1" s="1"/>
  <c r="J909" i="1"/>
  <c r="I909" i="1"/>
  <c r="K909" i="1" s="1"/>
  <c r="K908" i="1"/>
  <c r="J908" i="1"/>
  <c r="I908" i="1"/>
  <c r="J907" i="1"/>
  <c r="I907" i="1"/>
  <c r="K907" i="1" s="1"/>
  <c r="K906" i="1"/>
  <c r="J906" i="1"/>
  <c r="I906" i="1"/>
  <c r="J905" i="1"/>
  <c r="I905" i="1"/>
  <c r="K904" i="1"/>
  <c r="J904" i="1"/>
  <c r="I904" i="1"/>
  <c r="J903" i="1"/>
  <c r="K903" i="1" s="1"/>
  <c r="I903" i="1"/>
  <c r="K902" i="1"/>
  <c r="J902" i="1"/>
  <c r="I902" i="1"/>
  <c r="J901" i="1"/>
  <c r="I901" i="1"/>
  <c r="K901" i="1" s="1"/>
  <c r="J900" i="1"/>
  <c r="I900" i="1"/>
  <c r="K900" i="1" s="1"/>
  <c r="J899" i="1"/>
  <c r="I899" i="1"/>
  <c r="K899" i="1" s="1"/>
  <c r="J898" i="1"/>
  <c r="I898" i="1"/>
  <c r="K898" i="1" s="1"/>
  <c r="J897" i="1"/>
  <c r="I897" i="1"/>
  <c r="J896" i="1"/>
  <c r="I896" i="1"/>
  <c r="K896" i="1" s="1"/>
  <c r="K895" i="1"/>
  <c r="J895" i="1"/>
  <c r="I895" i="1"/>
  <c r="J894" i="1"/>
  <c r="I894" i="1"/>
  <c r="K894" i="1" s="1"/>
  <c r="J893" i="1"/>
  <c r="I893" i="1"/>
  <c r="J892" i="1"/>
  <c r="K892" i="1" s="1"/>
  <c r="I892" i="1"/>
  <c r="K891" i="1"/>
  <c r="J891" i="1"/>
  <c r="I891" i="1"/>
  <c r="J890" i="1"/>
  <c r="K890" i="1" s="1"/>
  <c r="I890" i="1"/>
  <c r="J889" i="1"/>
  <c r="I889" i="1"/>
  <c r="J888" i="1"/>
  <c r="I888" i="1"/>
  <c r="K888" i="1" s="1"/>
  <c r="J887" i="1"/>
  <c r="I887" i="1"/>
  <c r="K887" i="1" s="1"/>
  <c r="J886" i="1"/>
  <c r="I886" i="1"/>
  <c r="K886" i="1" s="1"/>
  <c r="J885" i="1"/>
  <c r="I885" i="1"/>
  <c r="K885" i="1" s="1"/>
  <c r="K884" i="1"/>
  <c r="J884" i="1"/>
  <c r="I884" i="1"/>
  <c r="J883" i="1"/>
  <c r="I883" i="1"/>
  <c r="K883" i="1" s="1"/>
  <c r="K882" i="1"/>
  <c r="J882" i="1"/>
  <c r="I882" i="1"/>
  <c r="J881" i="1"/>
  <c r="I881" i="1"/>
  <c r="K880" i="1"/>
  <c r="J880" i="1"/>
  <c r="I880" i="1"/>
  <c r="J879" i="1"/>
  <c r="K879" i="1" s="1"/>
  <c r="I879" i="1"/>
  <c r="J878" i="1"/>
  <c r="K878" i="1" s="1"/>
  <c r="I878" i="1"/>
  <c r="J877" i="1"/>
  <c r="I877" i="1"/>
  <c r="K877" i="1" s="1"/>
  <c r="J876" i="1"/>
  <c r="I876" i="1"/>
  <c r="K876" i="1" s="1"/>
  <c r="J875" i="1"/>
  <c r="I875" i="1"/>
  <c r="K875" i="1" s="1"/>
  <c r="J874" i="1"/>
  <c r="I874" i="1"/>
  <c r="K874" i="1" s="1"/>
  <c r="J873" i="1"/>
  <c r="I873" i="1"/>
  <c r="K873" i="1" s="1"/>
  <c r="J872" i="1"/>
  <c r="I872" i="1"/>
  <c r="K872" i="1" s="1"/>
  <c r="K871" i="1"/>
  <c r="J871" i="1"/>
  <c r="I871" i="1"/>
  <c r="J870" i="1"/>
  <c r="I870" i="1"/>
  <c r="K870" i="1" s="1"/>
  <c r="J869" i="1"/>
  <c r="I869" i="1"/>
  <c r="J868" i="1"/>
  <c r="K868" i="1" s="1"/>
  <c r="I868" i="1"/>
  <c r="K867" i="1"/>
  <c r="J867" i="1"/>
  <c r="I867" i="1"/>
  <c r="J866" i="1"/>
  <c r="K866" i="1" s="1"/>
  <c r="I866" i="1"/>
  <c r="J865" i="1"/>
  <c r="I865" i="1"/>
  <c r="K865" i="1" s="1"/>
  <c r="J864" i="1"/>
  <c r="I864" i="1"/>
  <c r="K864" i="1" s="1"/>
  <c r="J863" i="1"/>
  <c r="I863" i="1"/>
  <c r="K863" i="1" s="1"/>
  <c r="J862" i="1"/>
  <c r="I862" i="1"/>
  <c r="K862" i="1" s="1"/>
  <c r="J861" i="1"/>
  <c r="I861" i="1"/>
  <c r="K861" i="1" s="1"/>
  <c r="K860" i="1"/>
  <c r="J860" i="1"/>
  <c r="I860" i="1"/>
  <c r="J859" i="1"/>
  <c r="I859" i="1"/>
  <c r="K859" i="1" s="1"/>
  <c r="K858" i="1"/>
  <c r="J858" i="1"/>
  <c r="I858" i="1"/>
  <c r="J857" i="1"/>
  <c r="I857" i="1"/>
  <c r="K856" i="1"/>
  <c r="J856" i="1"/>
  <c r="I856" i="1"/>
  <c r="J855" i="1"/>
  <c r="K855" i="1" s="1"/>
  <c r="I855" i="1"/>
  <c r="K854" i="1"/>
  <c r="J854" i="1"/>
  <c r="I854" i="1"/>
  <c r="J853" i="1"/>
  <c r="I853" i="1"/>
  <c r="K853" i="1" s="1"/>
  <c r="J852" i="1"/>
  <c r="I852" i="1"/>
  <c r="J851" i="1"/>
  <c r="I851" i="1"/>
  <c r="K851" i="1" s="1"/>
  <c r="J850" i="1"/>
  <c r="I850" i="1"/>
  <c r="K850" i="1" s="1"/>
  <c r="J849" i="1"/>
  <c r="I849" i="1"/>
  <c r="J848" i="1"/>
  <c r="I848" i="1"/>
  <c r="K848" i="1" s="1"/>
  <c r="K847" i="1"/>
  <c r="J847" i="1"/>
  <c r="I847" i="1"/>
  <c r="J846" i="1"/>
  <c r="I846" i="1"/>
  <c r="K846" i="1" s="1"/>
  <c r="J845" i="1"/>
  <c r="I845" i="1"/>
  <c r="J844" i="1"/>
  <c r="K844" i="1" s="1"/>
  <c r="I844" i="1"/>
  <c r="K843" i="1"/>
  <c r="J843" i="1"/>
  <c r="I843" i="1"/>
  <c r="J842" i="1"/>
  <c r="K842" i="1" s="1"/>
  <c r="I842" i="1"/>
  <c r="J841" i="1"/>
  <c r="I841" i="1"/>
  <c r="J840" i="1"/>
  <c r="I840" i="1"/>
  <c r="K840" i="1" s="1"/>
  <c r="J839" i="1"/>
  <c r="I839" i="1"/>
  <c r="K839" i="1" s="1"/>
  <c r="J838" i="1"/>
  <c r="I838" i="1"/>
  <c r="K838" i="1" s="1"/>
  <c r="J837" i="1"/>
  <c r="I837" i="1"/>
  <c r="K837" i="1" s="1"/>
  <c r="K836" i="1"/>
  <c r="J836" i="1"/>
  <c r="I836" i="1"/>
  <c r="J835" i="1"/>
  <c r="I835" i="1"/>
  <c r="K835" i="1" s="1"/>
  <c r="K834" i="1"/>
  <c r="J834" i="1"/>
  <c r="I834" i="1"/>
  <c r="J833" i="1"/>
  <c r="I833" i="1"/>
  <c r="K832" i="1"/>
  <c r="J832" i="1"/>
  <c r="I832" i="1"/>
  <c r="J831" i="1"/>
  <c r="K831" i="1" s="1"/>
  <c r="I831" i="1"/>
  <c r="J830" i="1"/>
  <c r="K830" i="1" s="1"/>
  <c r="I830" i="1"/>
  <c r="J829" i="1"/>
  <c r="I829" i="1"/>
  <c r="K829" i="1" s="1"/>
  <c r="J828" i="1"/>
  <c r="I828" i="1"/>
  <c r="K828" i="1" s="1"/>
  <c r="J827" i="1"/>
  <c r="I827" i="1"/>
  <c r="K827" i="1" s="1"/>
  <c r="J826" i="1"/>
  <c r="I826" i="1"/>
  <c r="K826" i="1" s="1"/>
  <c r="J825" i="1"/>
  <c r="I825" i="1"/>
  <c r="K825" i="1" s="1"/>
  <c r="J824" i="1"/>
  <c r="I824" i="1"/>
  <c r="K824" i="1" s="1"/>
  <c r="K823" i="1"/>
  <c r="J823" i="1"/>
  <c r="I823" i="1"/>
  <c r="J822" i="1"/>
  <c r="I822" i="1"/>
  <c r="K822" i="1" s="1"/>
  <c r="J821" i="1"/>
  <c r="I821" i="1"/>
  <c r="J820" i="1"/>
  <c r="K820" i="1" s="1"/>
  <c r="I820" i="1"/>
  <c r="K819" i="1"/>
  <c r="J819" i="1"/>
  <c r="I819" i="1"/>
  <c r="J818" i="1"/>
  <c r="K818" i="1" s="1"/>
  <c r="I818" i="1"/>
  <c r="J817" i="1"/>
  <c r="I817" i="1"/>
  <c r="K817" i="1" s="1"/>
  <c r="J816" i="1"/>
  <c r="I816" i="1"/>
  <c r="K816" i="1" s="1"/>
  <c r="J815" i="1"/>
  <c r="I815" i="1"/>
  <c r="K815" i="1" s="1"/>
  <c r="J814" i="1"/>
  <c r="I814" i="1"/>
  <c r="K814" i="1" s="1"/>
  <c r="J813" i="1"/>
  <c r="I813" i="1"/>
  <c r="K813" i="1" s="1"/>
  <c r="K812" i="1"/>
  <c r="J812" i="1"/>
  <c r="I812" i="1"/>
  <c r="J811" i="1"/>
  <c r="I811" i="1"/>
  <c r="K811" i="1" s="1"/>
  <c r="K810" i="1"/>
  <c r="J810" i="1"/>
  <c r="I810" i="1"/>
  <c r="J809" i="1"/>
  <c r="I809" i="1"/>
  <c r="J808" i="1"/>
  <c r="K808" i="1" s="1"/>
  <c r="I808" i="1"/>
  <c r="J807" i="1"/>
  <c r="K807" i="1" s="1"/>
  <c r="I807" i="1"/>
  <c r="K806" i="1"/>
  <c r="J806" i="1"/>
  <c r="I806" i="1"/>
  <c r="J805" i="1"/>
  <c r="I805" i="1"/>
  <c r="K805" i="1" s="1"/>
  <c r="J804" i="1"/>
  <c r="I804" i="1"/>
  <c r="J803" i="1"/>
  <c r="I803" i="1"/>
  <c r="K803" i="1" s="1"/>
  <c r="J802" i="1"/>
  <c r="I802" i="1"/>
  <c r="K802" i="1" s="1"/>
  <c r="J801" i="1"/>
  <c r="I801" i="1"/>
  <c r="J800" i="1"/>
  <c r="I800" i="1"/>
  <c r="K800" i="1" s="1"/>
  <c r="K799" i="1"/>
  <c r="J799" i="1"/>
  <c r="I799" i="1"/>
  <c r="J798" i="1"/>
  <c r="I798" i="1"/>
  <c r="K798" i="1" s="1"/>
  <c r="J797" i="1"/>
  <c r="I797" i="1"/>
  <c r="J796" i="1"/>
  <c r="K796" i="1" s="1"/>
  <c r="I796" i="1"/>
  <c r="K795" i="1"/>
  <c r="J795" i="1"/>
  <c r="I795" i="1"/>
  <c r="J794" i="1"/>
  <c r="K794" i="1" s="1"/>
  <c r="I794" i="1"/>
  <c r="J793" i="1"/>
  <c r="I793" i="1"/>
  <c r="J792" i="1"/>
  <c r="I792" i="1"/>
  <c r="K792" i="1" s="1"/>
  <c r="J791" i="1"/>
  <c r="I791" i="1"/>
  <c r="K791" i="1" s="1"/>
  <c r="J790" i="1"/>
  <c r="I790" i="1"/>
  <c r="K790" i="1" s="1"/>
  <c r="J789" i="1"/>
  <c r="I789" i="1"/>
  <c r="K789" i="1" s="1"/>
  <c r="K788" i="1"/>
  <c r="J788" i="1"/>
  <c r="I788" i="1"/>
  <c r="J787" i="1"/>
  <c r="I787" i="1"/>
  <c r="K787" i="1" s="1"/>
  <c r="K786" i="1"/>
  <c r="J786" i="1"/>
  <c r="I786" i="1"/>
  <c r="J785" i="1"/>
  <c r="I785" i="1"/>
  <c r="K784" i="1"/>
  <c r="J784" i="1"/>
  <c r="I784" i="1"/>
  <c r="J783" i="1"/>
  <c r="K783" i="1" s="1"/>
  <c r="I783" i="1"/>
  <c r="J782" i="1"/>
  <c r="K782" i="1" s="1"/>
  <c r="I782" i="1"/>
  <c r="J781" i="1"/>
  <c r="I781" i="1"/>
  <c r="K781" i="1" s="1"/>
  <c r="J780" i="1"/>
  <c r="I780" i="1"/>
  <c r="K780" i="1" s="1"/>
  <c r="J779" i="1"/>
  <c r="I779" i="1"/>
  <c r="K779" i="1" s="1"/>
  <c r="J778" i="1"/>
  <c r="I778" i="1"/>
  <c r="K778" i="1" s="1"/>
  <c r="J777" i="1"/>
  <c r="I777" i="1"/>
  <c r="J776" i="1"/>
  <c r="I776" i="1"/>
  <c r="K776" i="1" s="1"/>
  <c r="K775" i="1"/>
  <c r="J775" i="1"/>
  <c r="I775" i="1"/>
  <c r="J774" i="1"/>
  <c r="I774" i="1"/>
  <c r="K774" i="1" s="1"/>
  <c r="J773" i="1"/>
  <c r="I773" i="1"/>
  <c r="J772" i="1"/>
  <c r="K772" i="1" s="1"/>
  <c r="I772" i="1"/>
  <c r="K771" i="1"/>
  <c r="J771" i="1"/>
  <c r="I771" i="1"/>
  <c r="J770" i="1"/>
  <c r="K770" i="1" s="1"/>
  <c r="I770" i="1"/>
  <c r="J769" i="1"/>
  <c r="I769" i="1"/>
  <c r="K769" i="1" s="1"/>
  <c r="K768" i="1"/>
  <c r="J768" i="1"/>
  <c r="I768" i="1"/>
  <c r="J767" i="1"/>
  <c r="I767" i="1"/>
  <c r="K767" i="1" s="1"/>
  <c r="J766" i="1"/>
  <c r="I766" i="1"/>
  <c r="K766" i="1" s="1"/>
  <c r="J765" i="1"/>
  <c r="I765" i="1"/>
  <c r="K765" i="1" s="1"/>
  <c r="K764" i="1"/>
  <c r="J764" i="1"/>
  <c r="I764" i="1"/>
  <c r="J763" i="1"/>
  <c r="I763" i="1"/>
  <c r="K763" i="1" s="1"/>
  <c r="K762" i="1"/>
  <c r="J762" i="1"/>
  <c r="I762" i="1"/>
  <c r="J761" i="1"/>
  <c r="I761" i="1"/>
  <c r="K760" i="1"/>
  <c r="J760" i="1"/>
  <c r="I760" i="1"/>
  <c r="J759" i="1"/>
  <c r="K759" i="1" s="1"/>
  <c r="I759" i="1"/>
  <c r="K758" i="1"/>
  <c r="J758" i="1"/>
  <c r="I758" i="1"/>
  <c r="J757" i="1"/>
  <c r="I757" i="1"/>
  <c r="K757" i="1" s="1"/>
  <c r="J756" i="1"/>
  <c r="I756" i="1"/>
  <c r="K756" i="1" s="1"/>
  <c r="K755" i="1"/>
  <c r="J755" i="1"/>
  <c r="I755" i="1"/>
  <c r="J754" i="1"/>
  <c r="I754" i="1"/>
  <c r="K754" i="1" s="1"/>
  <c r="J753" i="1"/>
  <c r="I753" i="1"/>
  <c r="J752" i="1"/>
  <c r="I752" i="1"/>
  <c r="K752" i="1" s="1"/>
  <c r="K751" i="1"/>
  <c r="J751" i="1"/>
  <c r="I751" i="1"/>
  <c r="J750" i="1"/>
  <c r="I750" i="1"/>
  <c r="K750" i="1" s="1"/>
  <c r="J749" i="1"/>
  <c r="I749" i="1"/>
  <c r="J748" i="1"/>
  <c r="K748" i="1" s="1"/>
  <c r="I748" i="1"/>
  <c r="K747" i="1"/>
  <c r="J747" i="1"/>
  <c r="I747" i="1"/>
  <c r="J746" i="1"/>
  <c r="K746" i="1" s="1"/>
  <c r="I746" i="1"/>
  <c r="J745" i="1"/>
  <c r="I745" i="1"/>
  <c r="K745" i="1" s="1"/>
  <c r="J744" i="1"/>
  <c r="I744" i="1"/>
  <c r="K744" i="1" s="1"/>
  <c r="J743" i="1"/>
  <c r="I743" i="1"/>
  <c r="K743" i="1" s="1"/>
  <c r="K742" i="1"/>
  <c r="J742" i="1"/>
  <c r="I742" i="1"/>
  <c r="J741" i="1"/>
  <c r="I741" i="1"/>
  <c r="K741" i="1" s="1"/>
  <c r="K740" i="1"/>
  <c r="J740" i="1"/>
  <c r="I740" i="1"/>
  <c r="J739" i="1"/>
  <c r="I739" i="1"/>
  <c r="K739" i="1" s="1"/>
  <c r="J738" i="1"/>
  <c r="K738" i="1" s="1"/>
  <c r="I738" i="1"/>
  <c r="J737" i="1"/>
  <c r="I737" i="1"/>
  <c r="J736" i="1"/>
  <c r="K736" i="1" s="1"/>
  <c r="I736" i="1"/>
  <c r="J735" i="1"/>
  <c r="K735" i="1" s="1"/>
  <c r="I735" i="1"/>
  <c r="J734" i="1"/>
  <c r="I734" i="1"/>
  <c r="K734" i="1" s="1"/>
  <c r="J733" i="1"/>
  <c r="I733" i="1"/>
  <c r="K733" i="1" s="1"/>
  <c r="J732" i="1"/>
  <c r="I732" i="1"/>
  <c r="J731" i="1"/>
  <c r="I731" i="1"/>
  <c r="K731" i="1" s="1"/>
  <c r="J730" i="1"/>
  <c r="I730" i="1"/>
  <c r="K730" i="1" s="1"/>
  <c r="J729" i="1"/>
  <c r="I729" i="1"/>
  <c r="J728" i="1"/>
  <c r="I728" i="1"/>
  <c r="K728" i="1" s="1"/>
  <c r="K727" i="1"/>
  <c r="J727" i="1"/>
  <c r="I727" i="1"/>
  <c r="J726" i="1"/>
  <c r="I726" i="1"/>
  <c r="K726" i="1" s="1"/>
  <c r="J725" i="1"/>
  <c r="I725" i="1"/>
  <c r="J724" i="1"/>
  <c r="K724" i="1" s="1"/>
  <c r="I724" i="1"/>
  <c r="J723" i="1"/>
  <c r="K723" i="1" s="1"/>
  <c r="I723" i="1"/>
  <c r="J722" i="1"/>
  <c r="K722" i="1" s="1"/>
  <c r="I722" i="1"/>
  <c r="J721" i="1"/>
  <c r="I721" i="1"/>
  <c r="K720" i="1"/>
  <c r="J720" i="1"/>
  <c r="I720" i="1"/>
  <c r="J719" i="1"/>
  <c r="I719" i="1"/>
  <c r="J718" i="1"/>
  <c r="I718" i="1"/>
  <c r="K718" i="1" s="1"/>
  <c r="J717" i="1"/>
  <c r="I717" i="1"/>
  <c r="K717" i="1" s="1"/>
  <c r="J716" i="1"/>
  <c r="K716" i="1" s="1"/>
  <c r="I716" i="1"/>
  <c r="J715" i="1"/>
  <c r="I715" i="1"/>
  <c r="K715" i="1" s="1"/>
  <c r="K714" i="1"/>
  <c r="J714" i="1"/>
  <c r="I714" i="1"/>
  <c r="J713" i="1"/>
  <c r="I713" i="1"/>
  <c r="J712" i="1"/>
  <c r="I712" i="1"/>
  <c r="K712" i="1" s="1"/>
  <c r="J711" i="1"/>
  <c r="K711" i="1" s="1"/>
  <c r="I711" i="1"/>
  <c r="J710" i="1"/>
  <c r="K710" i="1" s="1"/>
  <c r="I710" i="1"/>
  <c r="J709" i="1"/>
  <c r="I709" i="1"/>
  <c r="K709" i="1" s="1"/>
  <c r="J708" i="1"/>
  <c r="I708" i="1"/>
  <c r="K708" i="1" s="1"/>
  <c r="K707" i="1"/>
  <c r="J707" i="1"/>
  <c r="I707" i="1"/>
  <c r="J706" i="1"/>
  <c r="I706" i="1"/>
  <c r="J705" i="1"/>
  <c r="I705" i="1"/>
  <c r="J704" i="1"/>
  <c r="I704" i="1"/>
  <c r="K704" i="1" s="1"/>
  <c r="K703" i="1"/>
  <c r="J703" i="1"/>
  <c r="I703" i="1"/>
  <c r="J702" i="1"/>
  <c r="I702" i="1"/>
  <c r="K702" i="1" s="1"/>
  <c r="J701" i="1"/>
  <c r="I701" i="1"/>
  <c r="J700" i="1"/>
  <c r="K700" i="1" s="1"/>
  <c r="I700" i="1"/>
  <c r="K699" i="1"/>
  <c r="J699" i="1"/>
  <c r="I699" i="1"/>
  <c r="J698" i="1"/>
  <c r="K698" i="1" s="1"/>
  <c r="I698" i="1"/>
  <c r="J697" i="1"/>
  <c r="I697" i="1"/>
  <c r="J696" i="1"/>
  <c r="I696" i="1"/>
  <c r="K696" i="1" s="1"/>
  <c r="J695" i="1"/>
  <c r="I695" i="1"/>
  <c r="K694" i="1"/>
  <c r="J694" i="1"/>
  <c r="I694" i="1"/>
  <c r="J693" i="1"/>
  <c r="I693" i="1"/>
  <c r="K693" i="1" s="1"/>
  <c r="K692" i="1"/>
  <c r="J692" i="1"/>
  <c r="I692" i="1"/>
  <c r="J691" i="1"/>
  <c r="I691" i="1"/>
  <c r="K691" i="1" s="1"/>
  <c r="K690" i="1"/>
  <c r="J690" i="1"/>
  <c r="I690" i="1"/>
  <c r="J689" i="1"/>
  <c r="I689" i="1"/>
  <c r="J688" i="1"/>
  <c r="K688" i="1" s="1"/>
  <c r="I688" i="1"/>
  <c r="J687" i="1"/>
  <c r="K687" i="1" s="1"/>
  <c r="I687" i="1"/>
  <c r="J686" i="1"/>
  <c r="I686" i="1"/>
  <c r="K686" i="1" s="1"/>
  <c r="J685" i="1"/>
  <c r="I685" i="1"/>
  <c r="K685" i="1" s="1"/>
  <c r="J684" i="1"/>
  <c r="I684" i="1"/>
  <c r="J683" i="1"/>
  <c r="I683" i="1"/>
  <c r="K683" i="1" s="1"/>
  <c r="J682" i="1"/>
  <c r="I682" i="1"/>
  <c r="K682" i="1" s="1"/>
  <c r="J681" i="1"/>
  <c r="I681" i="1"/>
  <c r="J680" i="1"/>
  <c r="I680" i="1"/>
  <c r="K680" i="1" s="1"/>
  <c r="K679" i="1"/>
  <c r="J679" i="1"/>
  <c r="I679" i="1"/>
  <c r="J678" i="1"/>
  <c r="I678" i="1"/>
  <c r="K678" i="1" s="1"/>
  <c r="J677" i="1"/>
  <c r="I677" i="1"/>
  <c r="J676" i="1"/>
  <c r="K676" i="1" s="1"/>
  <c r="I676" i="1"/>
  <c r="K675" i="1"/>
  <c r="J675" i="1"/>
  <c r="I675" i="1"/>
  <c r="J674" i="1"/>
  <c r="K674" i="1" s="1"/>
  <c r="I674" i="1"/>
  <c r="J673" i="1"/>
  <c r="I673" i="1"/>
  <c r="K672" i="1"/>
  <c r="J672" i="1"/>
  <c r="I672" i="1"/>
  <c r="J671" i="1"/>
  <c r="I671" i="1"/>
  <c r="J670" i="1"/>
  <c r="I670" i="1"/>
  <c r="K670" i="1" s="1"/>
  <c r="J669" i="1"/>
  <c r="I669" i="1"/>
  <c r="K669" i="1" s="1"/>
  <c r="J668" i="1"/>
  <c r="K668" i="1" s="1"/>
  <c r="I668" i="1"/>
  <c r="J667" i="1"/>
  <c r="I667" i="1"/>
  <c r="K667" i="1" s="1"/>
  <c r="K666" i="1"/>
  <c r="J666" i="1"/>
  <c r="I666" i="1"/>
  <c r="J665" i="1"/>
  <c r="I665" i="1"/>
  <c r="K665" i="1" s="1"/>
  <c r="J664" i="1"/>
  <c r="K664" i="1" s="1"/>
  <c r="I664" i="1"/>
  <c r="J663" i="1"/>
  <c r="I663" i="1"/>
  <c r="K663" i="1" s="1"/>
  <c r="K662" i="1"/>
  <c r="J662" i="1"/>
  <c r="I662" i="1"/>
  <c r="J661" i="1"/>
  <c r="I661" i="1"/>
  <c r="K661" i="1" s="1"/>
  <c r="K660" i="1"/>
  <c r="J660" i="1"/>
  <c r="I660" i="1"/>
  <c r="J659" i="1"/>
  <c r="I659" i="1"/>
  <c r="K659" i="1" s="1"/>
  <c r="K658" i="1"/>
  <c r="J658" i="1"/>
  <c r="I658" i="1"/>
  <c r="J657" i="1"/>
  <c r="I657" i="1"/>
  <c r="K657" i="1" s="1"/>
  <c r="J656" i="1"/>
  <c r="K656" i="1" s="1"/>
  <c r="I656" i="1"/>
  <c r="J655" i="1"/>
  <c r="I655" i="1"/>
  <c r="K655" i="1" s="1"/>
  <c r="K654" i="1"/>
  <c r="J654" i="1"/>
  <c r="I654" i="1"/>
  <c r="J653" i="1"/>
  <c r="I653" i="1"/>
  <c r="K653" i="1" s="1"/>
  <c r="K652" i="1"/>
  <c r="J652" i="1"/>
  <c r="I652" i="1"/>
  <c r="J651" i="1"/>
  <c r="I651" i="1"/>
  <c r="K651" i="1" s="1"/>
  <c r="K650" i="1"/>
  <c r="J650" i="1"/>
  <c r="I650" i="1"/>
  <c r="K649" i="1"/>
  <c r="J649" i="1"/>
  <c r="I649" i="1"/>
  <c r="J648" i="1"/>
  <c r="K648" i="1" s="1"/>
  <c r="I648" i="1"/>
  <c r="J647" i="1"/>
  <c r="I647" i="1"/>
  <c r="K647" i="1" s="1"/>
  <c r="K646" i="1"/>
  <c r="J646" i="1"/>
  <c r="I646" i="1"/>
  <c r="K645" i="1"/>
  <c r="J645" i="1"/>
  <c r="I645" i="1"/>
  <c r="K644" i="1"/>
  <c r="J644" i="1"/>
  <c r="I644" i="1"/>
  <c r="J643" i="1"/>
  <c r="I643" i="1"/>
  <c r="K643" i="1" s="1"/>
  <c r="K642" i="1"/>
  <c r="J642" i="1"/>
  <c r="I642" i="1"/>
  <c r="J641" i="1"/>
  <c r="I641" i="1"/>
  <c r="K641" i="1" s="1"/>
  <c r="J640" i="1"/>
  <c r="K640" i="1" s="1"/>
  <c r="I640" i="1"/>
  <c r="J639" i="1"/>
  <c r="I639" i="1"/>
  <c r="K639" i="1" s="1"/>
  <c r="K638" i="1"/>
  <c r="J638" i="1"/>
  <c r="I638" i="1"/>
  <c r="J637" i="1"/>
  <c r="I637" i="1"/>
  <c r="K637" i="1" s="1"/>
  <c r="K636" i="1"/>
  <c r="J636" i="1"/>
  <c r="I636" i="1"/>
  <c r="J635" i="1"/>
  <c r="I635" i="1"/>
  <c r="K635" i="1" s="1"/>
  <c r="K634" i="1"/>
  <c r="J634" i="1"/>
  <c r="I634" i="1"/>
  <c r="J633" i="1"/>
  <c r="I633" i="1"/>
  <c r="K633" i="1" s="1"/>
  <c r="J632" i="1"/>
  <c r="K632" i="1" s="1"/>
  <c r="I632" i="1"/>
  <c r="J631" i="1"/>
  <c r="I631" i="1"/>
  <c r="K631" i="1" s="1"/>
  <c r="K630" i="1"/>
  <c r="J630" i="1"/>
  <c r="I630" i="1"/>
  <c r="J629" i="1"/>
  <c r="I629" i="1"/>
  <c r="K629" i="1" s="1"/>
  <c r="J628" i="1"/>
  <c r="K628" i="1" s="1"/>
  <c r="I628" i="1"/>
  <c r="J627" i="1"/>
  <c r="I627" i="1"/>
  <c r="K627" i="1" s="1"/>
  <c r="K626" i="1"/>
  <c r="J626" i="1"/>
  <c r="I626" i="1"/>
  <c r="K625" i="1"/>
  <c r="J625" i="1"/>
  <c r="I625" i="1"/>
  <c r="K624" i="1"/>
  <c r="J624" i="1"/>
  <c r="I624" i="1"/>
  <c r="J623" i="1"/>
  <c r="I623" i="1"/>
  <c r="K623" i="1" s="1"/>
  <c r="K622" i="1"/>
  <c r="J622" i="1"/>
  <c r="I622" i="1"/>
  <c r="K621" i="1"/>
  <c r="J621" i="1"/>
  <c r="I621" i="1"/>
  <c r="J620" i="1"/>
  <c r="K620" i="1" s="1"/>
  <c r="I620" i="1"/>
  <c r="J619" i="1"/>
  <c r="I619" i="1"/>
  <c r="K619" i="1" s="1"/>
  <c r="K618" i="1"/>
  <c r="J618" i="1"/>
  <c r="I618" i="1"/>
  <c r="J617" i="1"/>
  <c r="I617" i="1"/>
  <c r="K617" i="1" s="1"/>
  <c r="J616" i="1"/>
  <c r="K616" i="1" s="1"/>
  <c r="I616" i="1"/>
  <c r="J615" i="1"/>
  <c r="I615" i="1"/>
  <c r="K615" i="1" s="1"/>
  <c r="K614" i="1"/>
  <c r="J614" i="1"/>
  <c r="I614" i="1"/>
  <c r="K613" i="1"/>
  <c r="J613" i="1"/>
  <c r="I613" i="1"/>
  <c r="K612" i="1"/>
  <c r="J612" i="1"/>
  <c r="I612" i="1"/>
  <c r="J611" i="1"/>
  <c r="I611" i="1"/>
  <c r="K611" i="1" s="1"/>
  <c r="K610" i="1"/>
  <c r="J610" i="1"/>
  <c r="I610" i="1"/>
  <c r="J609" i="1"/>
  <c r="I609" i="1"/>
  <c r="K609" i="1" s="1"/>
  <c r="J608" i="1"/>
  <c r="K608" i="1" s="1"/>
  <c r="I608" i="1"/>
  <c r="J607" i="1"/>
  <c r="I607" i="1"/>
  <c r="K607" i="1" s="1"/>
  <c r="K606" i="1"/>
  <c r="J606" i="1"/>
  <c r="I606" i="1"/>
  <c r="J605" i="1"/>
  <c r="I605" i="1"/>
  <c r="K605" i="1" s="1"/>
  <c r="K604" i="1"/>
  <c r="J604" i="1"/>
  <c r="I604" i="1"/>
  <c r="J603" i="1"/>
  <c r="I603" i="1"/>
  <c r="K603" i="1" s="1"/>
  <c r="K602" i="1"/>
  <c r="J602" i="1"/>
  <c r="I602" i="1"/>
  <c r="K601" i="1"/>
  <c r="J601" i="1"/>
  <c r="I601" i="1"/>
  <c r="K600" i="1"/>
  <c r="J600" i="1"/>
  <c r="I600" i="1"/>
  <c r="J599" i="1"/>
  <c r="I599" i="1"/>
  <c r="K599" i="1" s="1"/>
  <c r="K598" i="1"/>
  <c r="J598" i="1"/>
  <c r="I598" i="1"/>
  <c r="K597" i="1"/>
  <c r="J597" i="1"/>
  <c r="I597" i="1"/>
  <c r="J596" i="1"/>
  <c r="K596" i="1" s="1"/>
  <c r="I596" i="1"/>
  <c r="J595" i="1"/>
  <c r="I595" i="1"/>
  <c r="K595" i="1" s="1"/>
  <c r="K594" i="1"/>
  <c r="J594" i="1"/>
  <c r="I594" i="1"/>
  <c r="K593" i="1"/>
  <c r="J593" i="1"/>
  <c r="I593" i="1"/>
  <c r="J592" i="1"/>
  <c r="K592" i="1" s="1"/>
  <c r="I592" i="1"/>
  <c r="J591" i="1"/>
  <c r="I591" i="1"/>
  <c r="K591" i="1" s="1"/>
  <c r="K590" i="1"/>
  <c r="J590" i="1"/>
  <c r="I590" i="1"/>
  <c r="J589" i="1"/>
  <c r="I589" i="1"/>
  <c r="K589" i="1" s="1"/>
  <c r="K588" i="1"/>
  <c r="J588" i="1"/>
  <c r="I588" i="1"/>
  <c r="J587" i="1"/>
  <c r="I587" i="1"/>
  <c r="K587" i="1" s="1"/>
  <c r="K586" i="1"/>
  <c r="J586" i="1"/>
  <c r="I586" i="1"/>
  <c r="J585" i="1"/>
  <c r="I585" i="1"/>
  <c r="K585" i="1" s="1"/>
  <c r="J584" i="1"/>
  <c r="K584" i="1" s="1"/>
  <c r="I584" i="1"/>
  <c r="J583" i="1"/>
  <c r="I583" i="1"/>
  <c r="K583" i="1" s="1"/>
  <c r="K582" i="1"/>
  <c r="J582" i="1"/>
  <c r="I582" i="1"/>
  <c r="J581" i="1"/>
  <c r="I581" i="1"/>
  <c r="K581" i="1" s="1"/>
  <c r="K580" i="1"/>
  <c r="J580" i="1"/>
  <c r="I580" i="1"/>
  <c r="J579" i="1"/>
  <c r="I579" i="1"/>
  <c r="K579" i="1" s="1"/>
  <c r="K578" i="1"/>
  <c r="J578" i="1"/>
  <c r="I578" i="1"/>
  <c r="K577" i="1"/>
  <c r="J577" i="1"/>
  <c r="I577" i="1"/>
  <c r="K576" i="1"/>
  <c r="J576" i="1"/>
  <c r="I576" i="1"/>
  <c r="J575" i="1"/>
  <c r="I575" i="1"/>
  <c r="K575" i="1" s="1"/>
  <c r="K574" i="1"/>
  <c r="J574" i="1"/>
  <c r="I574" i="1"/>
  <c r="K573" i="1"/>
  <c r="J573" i="1"/>
  <c r="I573" i="1"/>
  <c r="J572" i="1"/>
  <c r="K572" i="1" s="1"/>
  <c r="I572" i="1"/>
  <c r="J571" i="1"/>
  <c r="I571" i="1"/>
  <c r="K571" i="1" s="1"/>
  <c r="K570" i="1"/>
  <c r="J570" i="1"/>
  <c r="I570" i="1"/>
  <c r="J569" i="1"/>
  <c r="I569" i="1"/>
  <c r="K569" i="1" s="1"/>
  <c r="J568" i="1"/>
  <c r="K568" i="1" s="1"/>
  <c r="I568" i="1"/>
  <c r="J567" i="1"/>
  <c r="I567" i="1"/>
  <c r="K567" i="1" s="1"/>
  <c r="K566" i="1"/>
  <c r="J566" i="1"/>
  <c r="I566" i="1"/>
  <c r="K565" i="1"/>
  <c r="J565" i="1"/>
  <c r="I565" i="1"/>
  <c r="K564" i="1"/>
  <c r="J564" i="1"/>
  <c r="I564" i="1"/>
  <c r="J563" i="1"/>
  <c r="I563" i="1"/>
  <c r="K563" i="1" s="1"/>
  <c r="K562" i="1"/>
  <c r="J562" i="1"/>
  <c r="I562" i="1"/>
  <c r="J561" i="1"/>
  <c r="I561" i="1"/>
  <c r="K561" i="1" s="1"/>
  <c r="J560" i="1"/>
  <c r="K560" i="1" s="1"/>
  <c r="I560" i="1"/>
  <c r="J559" i="1"/>
  <c r="I559" i="1"/>
  <c r="K559" i="1" s="1"/>
  <c r="K558" i="1"/>
  <c r="J558" i="1"/>
  <c r="I558" i="1"/>
  <c r="J557" i="1"/>
  <c r="I557" i="1"/>
  <c r="K557" i="1" s="1"/>
  <c r="K556" i="1"/>
  <c r="J556" i="1"/>
  <c r="I556" i="1"/>
  <c r="J555" i="1"/>
  <c r="I555" i="1"/>
  <c r="K555" i="1" s="1"/>
  <c r="K554" i="1"/>
  <c r="J554" i="1"/>
  <c r="I554" i="1"/>
  <c r="K553" i="1"/>
  <c r="J553" i="1"/>
  <c r="I553" i="1"/>
  <c r="K552" i="1"/>
  <c r="J552" i="1"/>
  <c r="I552" i="1"/>
  <c r="J551" i="1"/>
  <c r="I551" i="1"/>
  <c r="K551" i="1" s="1"/>
  <c r="K550" i="1"/>
  <c r="J550" i="1"/>
  <c r="I550" i="1"/>
  <c r="K549" i="1"/>
  <c r="J549" i="1"/>
  <c r="I549" i="1"/>
  <c r="J548" i="1"/>
  <c r="K548" i="1" s="1"/>
  <c r="I548" i="1"/>
  <c r="J547" i="1"/>
  <c r="I547" i="1"/>
  <c r="K547" i="1" s="1"/>
  <c r="K546" i="1"/>
  <c r="J546" i="1"/>
  <c r="I546" i="1"/>
  <c r="K545" i="1"/>
  <c r="J545" i="1"/>
  <c r="I545" i="1"/>
  <c r="J544" i="1"/>
  <c r="K544" i="1" s="1"/>
  <c r="I544" i="1"/>
  <c r="J543" i="1"/>
  <c r="I543" i="1"/>
  <c r="K543" i="1" s="1"/>
  <c r="K542" i="1"/>
  <c r="J542" i="1"/>
  <c r="I542" i="1"/>
  <c r="K541" i="1"/>
  <c r="J541" i="1"/>
  <c r="I541" i="1"/>
  <c r="K540" i="1"/>
  <c r="J540" i="1"/>
  <c r="I540" i="1"/>
  <c r="J539" i="1"/>
  <c r="I539" i="1"/>
  <c r="K539" i="1" s="1"/>
  <c r="K538" i="1"/>
  <c r="J538" i="1"/>
  <c r="I538" i="1"/>
  <c r="J537" i="1"/>
  <c r="I537" i="1"/>
  <c r="K537" i="1" s="1"/>
  <c r="K536" i="1"/>
  <c r="J536" i="1"/>
  <c r="I536" i="1"/>
  <c r="J535" i="1"/>
  <c r="I535" i="1"/>
  <c r="K535" i="1" s="1"/>
  <c r="K534" i="1"/>
  <c r="J534" i="1"/>
  <c r="I534" i="1"/>
  <c r="J533" i="1"/>
  <c r="I533" i="1"/>
  <c r="K533" i="1" s="1"/>
  <c r="J532" i="1"/>
  <c r="K532" i="1" s="1"/>
  <c r="I532" i="1"/>
  <c r="J531" i="1"/>
  <c r="I531" i="1"/>
  <c r="K531" i="1" s="1"/>
  <c r="K530" i="1"/>
  <c r="J530" i="1"/>
  <c r="I530" i="1"/>
  <c r="K529" i="1"/>
  <c r="J529" i="1"/>
  <c r="I529" i="1"/>
  <c r="J528" i="1"/>
  <c r="K528" i="1" s="1"/>
  <c r="I528" i="1"/>
  <c r="J527" i="1"/>
  <c r="I527" i="1"/>
  <c r="K527" i="1" s="1"/>
  <c r="K526" i="1"/>
  <c r="J526" i="1"/>
  <c r="I526" i="1"/>
  <c r="K525" i="1"/>
  <c r="J525" i="1"/>
  <c r="I525" i="1"/>
  <c r="J524" i="1"/>
  <c r="K524" i="1" s="1"/>
  <c r="I524" i="1"/>
  <c r="J523" i="1"/>
  <c r="I523" i="1"/>
  <c r="K523" i="1" s="1"/>
  <c r="K522" i="1"/>
  <c r="J522" i="1"/>
  <c r="I522" i="1"/>
  <c r="J521" i="1"/>
  <c r="I521" i="1"/>
  <c r="K521" i="1" s="1"/>
  <c r="J520" i="1"/>
  <c r="K520" i="1" s="1"/>
  <c r="I520" i="1"/>
  <c r="J519" i="1"/>
  <c r="I519" i="1"/>
  <c r="K519" i="1" s="1"/>
  <c r="K518" i="1"/>
  <c r="J518" i="1"/>
  <c r="I518" i="1"/>
  <c r="K517" i="1"/>
  <c r="J517" i="1"/>
  <c r="I517" i="1"/>
  <c r="K516" i="1"/>
  <c r="J516" i="1"/>
  <c r="I516" i="1"/>
  <c r="J515" i="1"/>
  <c r="I515" i="1"/>
  <c r="K515" i="1" s="1"/>
  <c r="K514" i="1"/>
  <c r="J514" i="1"/>
  <c r="I514" i="1"/>
  <c r="J513" i="1"/>
  <c r="I513" i="1"/>
  <c r="K513" i="1" s="1"/>
  <c r="J512" i="1"/>
  <c r="K512" i="1" s="1"/>
  <c r="I512" i="1"/>
  <c r="J511" i="1"/>
  <c r="I511" i="1"/>
  <c r="K511" i="1" s="1"/>
  <c r="J510" i="1"/>
  <c r="I510" i="1"/>
  <c r="K510" i="1" s="1"/>
  <c r="J509" i="1"/>
  <c r="I509" i="1"/>
  <c r="K509" i="1" s="1"/>
  <c r="K508" i="1"/>
  <c r="J508" i="1"/>
  <c r="I508" i="1"/>
  <c r="J507" i="1"/>
  <c r="I507" i="1"/>
  <c r="K507" i="1" s="1"/>
  <c r="J506" i="1"/>
  <c r="I506" i="1"/>
  <c r="K506" i="1" s="1"/>
  <c r="K505" i="1"/>
  <c r="J505" i="1"/>
  <c r="I505" i="1"/>
  <c r="K504" i="1"/>
  <c r="J504" i="1"/>
  <c r="I504" i="1"/>
  <c r="J503" i="1"/>
  <c r="I503" i="1"/>
  <c r="K503" i="1" s="1"/>
  <c r="J502" i="1"/>
  <c r="I502" i="1"/>
  <c r="K502" i="1" s="1"/>
  <c r="K501" i="1"/>
  <c r="J501" i="1"/>
  <c r="I501" i="1"/>
  <c r="J500" i="1"/>
  <c r="I500" i="1"/>
  <c r="J499" i="1"/>
  <c r="I499" i="1"/>
  <c r="K499" i="1" s="1"/>
  <c r="J498" i="1"/>
  <c r="I498" i="1"/>
  <c r="K498" i="1" s="1"/>
  <c r="K497" i="1"/>
  <c r="J497" i="1"/>
  <c r="I497" i="1"/>
  <c r="J496" i="1"/>
  <c r="I496" i="1"/>
  <c r="K496" i="1" s="1"/>
  <c r="J495" i="1"/>
  <c r="I495" i="1"/>
  <c r="K495" i="1" s="1"/>
  <c r="K494" i="1"/>
  <c r="J494" i="1"/>
  <c r="I494" i="1"/>
  <c r="K493" i="1"/>
  <c r="J493" i="1"/>
  <c r="I493" i="1"/>
  <c r="K492" i="1"/>
  <c r="J492" i="1"/>
  <c r="I492" i="1"/>
  <c r="J491" i="1"/>
  <c r="I491" i="1"/>
  <c r="K491" i="1" s="1"/>
  <c r="J490" i="1"/>
  <c r="K490" i="1" s="1"/>
  <c r="I490" i="1"/>
  <c r="J489" i="1"/>
  <c r="I489" i="1"/>
  <c r="K489" i="1" s="1"/>
  <c r="J488" i="1"/>
  <c r="K488" i="1" s="1"/>
  <c r="I488" i="1"/>
  <c r="J487" i="1"/>
  <c r="I487" i="1"/>
  <c r="K487" i="1" s="1"/>
  <c r="J486" i="1"/>
  <c r="I486" i="1"/>
  <c r="K486" i="1" s="1"/>
  <c r="J485" i="1"/>
  <c r="I485" i="1"/>
  <c r="K485" i="1" s="1"/>
  <c r="K484" i="1"/>
  <c r="J484" i="1"/>
  <c r="I484" i="1"/>
  <c r="J483" i="1"/>
  <c r="I483" i="1"/>
  <c r="K483" i="1" s="1"/>
  <c r="K482" i="1"/>
  <c r="J482" i="1"/>
  <c r="I482" i="1"/>
  <c r="K481" i="1"/>
  <c r="J481" i="1"/>
  <c r="I481" i="1"/>
  <c r="K480" i="1"/>
  <c r="J480" i="1"/>
  <c r="I480" i="1"/>
  <c r="J479" i="1"/>
  <c r="I479" i="1"/>
  <c r="K479" i="1" s="1"/>
  <c r="J478" i="1"/>
  <c r="I478" i="1"/>
  <c r="K477" i="1"/>
  <c r="J477" i="1"/>
  <c r="I477" i="1"/>
  <c r="J476" i="1"/>
  <c r="I476" i="1"/>
  <c r="K476" i="1" s="1"/>
  <c r="J475" i="1"/>
  <c r="I475" i="1"/>
  <c r="K475" i="1" s="1"/>
  <c r="J474" i="1"/>
  <c r="I474" i="1"/>
  <c r="K474" i="1" s="1"/>
  <c r="J473" i="1"/>
  <c r="I473" i="1"/>
  <c r="K473" i="1" s="1"/>
  <c r="J472" i="1"/>
  <c r="I472" i="1"/>
  <c r="K472" i="1" s="1"/>
  <c r="J471" i="1"/>
  <c r="I471" i="1"/>
  <c r="K471" i="1" s="1"/>
  <c r="K470" i="1"/>
  <c r="J470" i="1"/>
  <c r="I470" i="1"/>
  <c r="K469" i="1"/>
  <c r="J469" i="1"/>
  <c r="I469" i="1"/>
  <c r="K468" i="1"/>
  <c r="J468" i="1"/>
  <c r="I468" i="1"/>
  <c r="J467" i="1"/>
  <c r="I467" i="1"/>
  <c r="K467" i="1" s="1"/>
  <c r="J466" i="1"/>
  <c r="K466" i="1" s="1"/>
  <c r="I466" i="1"/>
  <c r="J465" i="1"/>
  <c r="I465" i="1"/>
  <c r="K465" i="1" s="1"/>
  <c r="J464" i="1"/>
  <c r="K464" i="1" s="1"/>
  <c r="I464" i="1"/>
  <c r="J463" i="1"/>
  <c r="I463" i="1"/>
  <c r="K463" i="1" s="1"/>
  <c r="J462" i="1"/>
  <c r="K462" i="1" s="1"/>
  <c r="I462" i="1"/>
  <c r="J461" i="1"/>
  <c r="I461" i="1"/>
  <c r="K461" i="1" s="1"/>
  <c r="J460" i="1"/>
  <c r="I460" i="1"/>
  <c r="K460" i="1" s="1"/>
  <c r="J459" i="1"/>
  <c r="I459" i="1"/>
  <c r="K459" i="1" s="1"/>
  <c r="J458" i="1"/>
  <c r="I458" i="1"/>
  <c r="K458" i="1" s="1"/>
  <c r="K457" i="1"/>
  <c r="J457" i="1"/>
  <c r="I457" i="1"/>
  <c r="K456" i="1"/>
  <c r="J456" i="1"/>
  <c r="I456" i="1"/>
  <c r="J455" i="1"/>
  <c r="I455" i="1"/>
  <c r="K455" i="1" s="1"/>
  <c r="J454" i="1"/>
  <c r="I454" i="1"/>
  <c r="K454" i="1" s="1"/>
  <c r="K453" i="1"/>
  <c r="J453" i="1"/>
  <c r="I453" i="1"/>
  <c r="J452" i="1"/>
  <c r="I452" i="1"/>
  <c r="J451" i="1"/>
  <c r="I451" i="1"/>
  <c r="K451" i="1" s="1"/>
  <c r="J450" i="1"/>
  <c r="I450" i="1"/>
  <c r="K450" i="1" s="1"/>
  <c r="K449" i="1"/>
  <c r="J449" i="1"/>
  <c r="I449" i="1"/>
  <c r="J448" i="1"/>
  <c r="I448" i="1"/>
  <c r="K448" i="1" s="1"/>
  <c r="J447" i="1"/>
  <c r="I447" i="1"/>
  <c r="K447" i="1" s="1"/>
  <c r="K446" i="1"/>
  <c r="J446" i="1"/>
  <c r="I446" i="1"/>
  <c r="J445" i="1"/>
  <c r="I445" i="1"/>
  <c r="K445" i="1" s="1"/>
  <c r="K444" i="1"/>
  <c r="J444" i="1"/>
  <c r="I444" i="1"/>
  <c r="J443" i="1"/>
  <c r="I443" i="1"/>
  <c r="K443" i="1" s="1"/>
  <c r="J442" i="1"/>
  <c r="K442" i="1" s="1"/>
  <c r="I442" i="1"/>
  <c r="J441" i="1"/>
  <c r="I441" i="1"/>
  <c r="K441" i="1" s="1"/>
  <c r="J440" i="1"/>
  <c r="K440" i="1" s="1"/>
  <c r="I440" i="1"/>
  <c r="J439" i="1"/>
  <c r="I439" i="1"/>
  <c r="K439" i="1" s="1"/>
  <c r="J438" i="1"/>
  <c r="I438" i="1"/>
  <c r="K438" i="1" s="1"/>
  <c r="J437" i="1"/>
  <c r="I437" i="1"/>
  <c r="K437" i="1" s="1"/>
  <c r="J436" i="1"/>
  <c r="I436" i="1"/>
  <c r="K436" i="1" s="1"/>
  <c r="J435" i="1"/>
  <c r="I435" i="1"/>
  <c r="K435" i="1" s="1"/>
  <c r="K434" i="1"/>
  <c r="J434" i="1"/>
  <c r="I434" i="1"/>
  <c r="K433" i="1"/>
  <c r="J433" i="1"/>
  <c r="I433" i="1"/>
  <c r="K432" i="1"/>
  <c r="J432" i="1"/>
  <c r="I432" i="1"/>
  <c r="J431" i="1"/>
  <c r="I431" i="1"/>
  <c r="K431" i="1" s="1"/>
  <c r="J430" i="1"/>
  <c r="I430" i="1"/>
  <c r="K429" i="1"/>
  <c r="J429" i="1"/>
  <c r="I429" i="1"/>
  <c r="J428" i="1"/>
  <c r="I428" i="1"/>
  <c r="J427" i="1"/>
  <c r="I427" i="1"/>
  <c r="K427" i="1" s="1"/>
  <c r="J426" i="1"/>
  <c r="I426" i="1"/>
  <c r="K426" i="1" s="1"/>
  <c r="J425" i="1"/>
  <c r="I425" i="1"/>
  <c r="K425" i="1" s="1"/>
  <c r="J424" i="1"/>
  <c r="I424" i="1"/>
  <c r="K424" i="1" s="1"/>
  <c r="J423" i="1"/>
  <c r="I423" i="1"/>
  <c r="K423" i="1" s="1"/>
  <c r="K422" i="1"/>
  <c r="J422" i="1"/>
  <c r="I422" i="1"/>
  <c r="K421" i="1"/>
  <c r="J421" i="1"/>
  <c r="I421" i="1"/>
  <c r="K420" i="1"/>
  <c r="J420" i="1"/>
  <c r="I420" i="1"/>
  <c r="J419" i="1"/>
  <c r="I419" i="1"/>
  <c r="K419" i="1" s="1"/>
  <c r="J418" i="1"/>
  <c r="K418" i="1" s="1"/>
  <c r="I418" i="1"/>
  <c r="J417" i="1"/>
  <c r="I417" i="1"/>
  <c r="K417" i="1" s="1"/>
  <c r="J416" i="1"/>
  <c r="K416" i="1" s="1"/>
  <c r="I416" i="1"/>
  <c r="J415" i="1"/>
  <c r="I415" i="1"/>
  <c r="K415" i="1" s="1"/>
  <c r="K414" i="1"/>
  <c r="J414" i="1"/>
  <c r="I414" i="1"/>
  <c r="J413" i="1"/>
  <c r="I413" i="1"/>
  <c r="K413" i="1" s="1"/>
  <c r="J412" i="1"/>
  <c r="I412" i="1"/>
  <c r="K412" i="1" s="1"/>
  <c r="J411" i="1"/>
  <c r="I411" i="1"/>
  <c r="K411" i="1" s="1"/>
  <c r="J410" i="1"/>
  <c r="I410" i="1"/>
  <c r="K410" i="1" s="1"/>
  <c r="K409" i="1"/>
  <c r="J409" i="1"/>
  <c r="I409" i="1"/>
  <c r="K408" i="1"/>
  <c r="J408" i="1"/>
  <c r="I408" i="1"/>
  <c r="J407" i="1"/>
  <c r="I407" i="1"/>
  <c r="K407" i="1" s="1"/>
  <c r="J406" i="1"/>
  <c r="I406" i="1"/>
  <c r="K406" i="1" s="1"/>
  <c r="K405" i="1"/>
  <c r="J405" i="1"/>
  <c r="I405" i="1"/>
  <c r="J404" i="1"/>
  <c r="I404" i="1"/>
  <c r="K404" i="1" s="1"/>
  <c r="K403" i="1"/>
  <c r="J403" i="1"/>
  <c r="I403" i="1"/>
  <c r="J402" i="1"/>
  <c r="I402" i="1"/>
  <c r="K401" i="1"/>
  <c r="J401" i="1"/>
  <c r="I401" i="1"/>
  <c r="J400" i="1"/>
  <c r="I400" i="1"/>
  <c r="K399" i="1"/>
  <c r="J399" i="1"/>
  <c r="I399" i="1"/>
  <c r="J398" i="1"/>
  <c r="I398" i="1"/>
  <c r="K397" i="1"/>
  <c r="J397" i="1"/>
  <c r="I397" i="1"/>
  <c r="J396" i="1"/>
  <c r="I396" i="1"/>
  <c r="K395" i="1"/>
  <c r="J395" i="1"/>
  <c r="I395" i="1"/>
  <c r="J394" i="1"/>
  <c r="I394" i="1"/>
  <c r="K394" i="1" s="1"/>
  <c r="K393" i="1"/>
  <c r="J393" i="1"/>
  <c r="I393" i="1"/>
  <c r="J392" i="1"/>
  <c r="I392" i="1"/>
  <c r="K392" i="1" s="1"/>
  <c r="K391" i="1"/>
  <c r="J391" i="1"/>
  <c r="I391" i="1"/>
  <c r="J390" i="1"/>
  <c r="I390" i="1"/>
  <c r="K389" i="1"/>
  <c r="J389" i="1"/>
  <c r="I389" i="1"/>
  <c r="J388" i="1"/>
  <c r="I388" i="1"/>
  <c r="K388" i="1" s="1"/>
  <c r="K387" i="1"/>
  <c r="J387" i="1"/>
  <c r="I387" i="1"/>
  <c r="J386" i="1"/>
  <c r="I386" i="1"/>
  <c r="K386" i="1" s="1"/>
  <c r="K385" i="1"/>
  <c r="J385" i="1"/>
  <c r="I385" i="1"/>
  <c r="J384" i="1"/>
  <c r="I384" i="1"/>
  <c r="K384" i="1" s="1"/>
  <c r="K383" i="1"/>
  <c r="J383" i="1"/>
  <c r="I383" i="1"/>
  <c r="J382" i="1"/>
  <c r="I382" i="1"/>
  <c r="K382" i="1" s="1"/>
  <c r="K381" i="1"/>
  <c r="J381" i="1"/>
  <c r="I381" i="1"/>
  <c r="J380" i="1"/>
  <c r="I380" i="1"/>
  <c r="K380" i="1" s="1"/>
  <c r="K379" i="1"/>
  <c r="J379" i="1"/>
  <c r="I379" i="1"/>
  <c r="J378" i="1"/>
  <c r="I378" i="1"/>
  <c r="K377" i="1"/>
  <c r="J377" i="1"/>
  <c r="I377" i="1"/>
  <c r="J376" i="1"/>
  <c r="I376" i="1"/>
  <c r="K375" i="1"/>
  <c r="J375" i="1"/>
  <c r="I375" i="1"/>
  <c r="J374" i="1"/>
  <c r="I374" i="1"/>
  <c r="K373" i="1"/>
  <c r="J373" i="1"/>
  <c r="I373" i="1"/>
  <c r="J372" i="1"/>
  <c r="I372" i="1"/>
  <c r="K371" i="1"/>
  <c r="J371" i="1"/>
  <c r="I371" i="1"/>
  <c r="J370" i="1"/>
  <c r="I370" i="1"/>
  <c r="K370" i="1" s="1"/>
  <c r="K369" i="1"/>
  <c r="J369" i="1"/>
  <c r="I369" i="1"/>
  <c r="J368" i="1"/>
  <c r="I368" i="1"/>
  <c r="K368" i="1" s="1"/>
  <c r="K367" i="1"/>
  <c r="J367" i="1"/>
  <c r="I367" i="1"/>
  <c r="J366" i="1"/>
  <c r="I366" i="1"/>
  <c r="K365" i="1"/>
  <c r="J365" i="1"/>
  <c r="I365" i="1"/>
  <c r="J364" i="1"/>
  <c r="I364" i="1"/>
  <c r="K364" i="1" s="1"/>
  <c r="K363" i="1"/>
  <c r="J363" i="1"/>
  <c r="I363" i="1"/>
  <c r="J362" i="1"/>
  <c r="I362" i="1"/>
  <c r="K362" i="1" s="1"/>
  <c r="K361" i="1"/>
  <c r="J361" i="1"/>
  <c r="I361" i="1"/>
  <c r="J360" i="1"/>
  <c r="I360" i="1"/>
  <c r="K360" i="1" s="1"/>
  <c r="K359" i="1"/>
  <c r="J359" i="1"/>
  <c r="I359" i="1"/>
  <c r="J358" i="1"/>
  <c r="I358" i="1"/>
  <c r="K358" i="1" s="1"/>
  <c r="K357" i="1"/>
  <c r="J357" i="1"/>
  <c r="I357" i="1"/>
  <c r="J356" i="1"/>
  <c r="I356" i="1"/>
  <c r="K356" i="1" s="1"/>
  <c r="K355" i="1"/>
  <c r="J355" i="1"/>
  <c r="I355" i="1"/>
  <c r="J354" i="1"/>
  <c r="I354" i="1"/>
  <c r="K353" i="1"/>
  <c r="J353" i="1"/>
  <c r="I353" i="1"/>
  <c r="J352" i="1"/>
  <c r="I352" i="1"/>
  <c r="K351" i="1"/>
  <c r="J351" i="1"/>
  <c r="I351" i="1"/>
  <c r="J350" i="1"/>
  <c r="I350" i="1"/>
  <c r="K349" i="1"/>
  <c r="J349" i="1"/>
  <c r="I349" i="1"/>
  <c r="J348" i="1"/>
  <c r="I348" i="1"/>
  <c r="K347" i="1"/>
  <c r="J347" i="1"/>
  <c r="I347" i="1"/>
  <c r="J346" i="1"/>
  <c r="I346" i="1"/>
  <c r="K346" i="1" s="1"/>
  <c r="K345" i="1"/>
  <c r="J345" i="1"/>
  <c r="I345" i="1"/>
  <c r="J344" i="1"/>
  <c r="I344" i="1"/>
  <c r="K344" i="1" s="1"/>
  <c r="K343" i="1"/>
  <c r="J343" i="1"/>
  <c r="I343" i="1"/>
  <c r="J342" i="1"/>
  <c r="I342" i="1"/>
  <c r="K341" i="1"/>
  <c r="J341" i="1"/>
  <c r="I341" i="1"/>
  <c r="J340" i="1"/>
  <c r="I340" i="1"/>
  <c r="K340" i="1" s="1"/>
  <c r="K339" i="1"/>
  <c r="J339" i="1"/>
  <c r="I339" i="1"/>
  <c r="J338" i="1"/>
  <c r="I338" i="1"/>
  <c r="K338" i="1" s="1"/>
  <c r="K337" i="1"/>
  <c r="J337" i="1"/>
  <c r="I337" i="1"/>
  <c r="J336" i="1"/>
  <c r="I336" i="1"/>
  <c r="K336" i="1" s="1"/>
  <c r="K335" i="1"/>
  <c r="J335" i="1"/>
  <c r="I335" i="1"/>
  <c r="J334" i="1"/>
  <c r="I334" i="1"/>
  <c r="K334" i="1" s="1"/>
  <c r="K333" i="1"/>
  <c r="J333" i="1"/>
  <c r="I333" i="1"/>
  <c r="J332" i="1"/>
  <c r="I332" i="1"/>
  <c r="K332" i="1" s="1"/>
  <c r="K331" i="1"/>
  <c r="J331" i="1"/>
  <c r="I331" i="1"/>
  <c r="J330" i="1"/>
  <c r="I330" i="1"/>
  <c r="K329" i="1"/>
  <c r="J329" i="1"/>
  <c r="I329" i="1"/>
  <c r="J328" i="1"/>
  <c r="I328" i="1"/>
  <c r="K327" i="1"/>
  <c r="J327" i="1"/>
  <c r="I327" i="1"/>
  <c r="J326" i="1"/>
  <c r="I326" i="1"/>
  <c r="K325" i="1"/>
  <c r="J325" i="1"/>
  <c r="I325" i="1"/>
  <c r="J324" i="1"/>
  <c r="I324" i="1"/>
  <c r="K323" i="1"/>
  <c r="J323" i="1"/>
  <c r="I323" i="1"/>
  <c r="J322" i="1"/>
  <c r="I322" i="1"/>
  <c r="K322" i="1" s="1"/>
  <c r="K321" i="1"/>
  <c r="J321" i="1"/>
  <c r="I321" i="1"/>
  <c r="J320" i="1"/>
  <c r="I320" i="1"/>
  <c r="K320" i="1" s="1"/>
  <c r="K319" i="1"/>
  <c r="J319" i="1"/>
  <c r="I319" i="1"/>
  <c r="J318" i="1"/>
  <c r="I318" i="1"/>
  <c r="K317" i="1"/>
  <c r="J317" i="1"/>
  <c r="I317" i="1"/>
  <c r="J316" i="1"/>
  <c r="I316" i="1"/>
  <c r="K316" i="1" s="1"/>
  <c r="K315" i="1"/>
  <c r="J315" i="1"/>
  <c r="I315" i="1"/>
  <c r="J314" i="1"/>
  <c r="I314" i="1"/>
  <c r="K314" i="1" s="1"/>
  <c r="K313" i="1"/>
  <c r="J313" i="1"/>
  <c r="I313" i="1"/>
  <c r="J312" i="1"/>
  <c r="I312" i="1"/>
  <c r="K312" i="1" s="1"/>
  <c r="K311" i="1"/>
  <c r="J311" i="1"/>
  <c r="I311" i="1"/>
  <c r="J310" i="1"/>
  <c r="I310" i="1"/>
  <c r="K310" i="1" s="1"/>
  <c r="J309" i="1"/>
  <c r="K309" i="1" s="1"/>
  <c r="I309" i="1"/>
  <c r="J308" i="1"/>
  <c r="I308" i="1"/>
  <c r="K308" i="1" s="1"/>
  <c r="K307" i="1"/>
  <c r="J307" i="1"/>
  <c r="I307" i="1"/>
  <c r="J306" i="1"/>
  <c r="I306" i="1"/>
  <c r="J305" i="1"/>
  <c r="K305" i="1" s="1"/>
  <c r="I305" i="1"/>
  <c r="J304" i="1"/>
  <c r="I304" i="1"/>
  <c r="K303" i="1"/>
  <c r="J303" i="1"/>
  <c r="I303" i="1"/>
  <c r="J302" i="1"/>
  <c r="I302" i="1"/>
  <c r="K301" i="1"/>
  <c r="J301" i="1"/>
  <c r="I301" i="1"/>
  <c r="J300" i="1"/>
  <c r="I300" i="1"/>
  <c r="K299" i="1"/>
  <c r="J299" i="1"/>
  <c r="I299" i="1"/>
  <c r="J298" i="1"/>
  <c r="I298" i="1"/>
  <c r="K298" i="1" s="1"/>
  <c r="K297" i="1"/>
  <c r="J297" i="1"/>
  <c r="I297" i="1"/>
  <c r="J296" i="1"/>
  <c r="I296" i="1"/>
  <c r="K296" i="1" s="1"/>
  <c r="K295" i="1"/>
  <c r="J295" i="1"/>
  <c r="I295" i="1"/>
  <c r="J294" i="1"/>
  <c r="I294" i="1"/>
  <c r="J293" i="1"/>
  <c r="K293" i="1" s="1"/>
  <c r="I293" i="1"/>
  <c r="J292" i="1"/>
  <c r="I292" i="1"/>
  <c r="K292" i="1" s="1"/>
  <c r="K291" i="1"/>
  <c r="J291" i="1"/>
  <c r="I291" i="1"/>
  <c r="J290" i="1"/>
  <c r="I290" i="1"/>
  <c r="K290" i="1" s="1"/>
  <c r="K289" i="1"/>
  <c r="J289" i="1"/>
  <c r="I289" i="1"/>
  <c r="J288" i="1"/>
  <c r="I288" i="1"/>
  <c r="K288" i="1" s="1"/>
  <c r="K287" i="1"/>
  <c r="J287" i="1"/>
  <c r="I287" i="1"/>
  <c r="J286" i="1"/>
  <c r="I286" i="1"/>
  <c r="K286" i="1" s="1"/>
  <c r="J285" i="1"/>
  <c r="K285" i="1" s="1"/>
  <c r="I285" i="1"/>
  <c r="J284" i="1"/>
  <c r="I284" i="1"/>
  <c r="K284" i="1" s="1"/>
  <c r="K283" i="1"/>
  <c r="J283" i="1"/>
  <c r="I283" i="1"/>
  <c r="J282" i="1"/>
  <c r="I282" i="1"/>
  <c r="J281" i="1"/>
  <c r="K281" i="1" s="1"/>
  <c r="I281" i="1"/>
  <c r="J280" i="1"/>
  <c r="I280" i="1"/>
  <c r="K279" i="1"/>
  <c r="J279" i="1"/>
  <c r="I279" i="1"/>
  <c r="J278" i="1"/>
  <c r="I278" i="1"/>
  <c r="K277" i="1"/>
  <c r="J277" i="1"/>
  <c r="I277" i="1"/>
  <c r="J276" i="1"/>
  <c r="I276" i="1"/>
  <c r="K275" i="1"/>
  <c r="J275" i="1"/>
  <c r="I275" i="1"/>
  <c r="J274" i="1"/>
  <c r="I274" i="1"/>
  <c r="K274" i="1" s="1"/>
  <c r="K273" i="1"/>
  <c r="J273" i="1"/>
  <c r="I273" i="1"/>
  <c r="J272" i="1"/>
  <c r="I272" i="1"/>
  <c r="K272" i="1" s="1"/>
  <c r="K271" i="1"/>
  <c r="J271" i="1"/>
  <c r="I271" i="1"/>
  <c r="J270" i="1"/>
  <c r="I270" i="1"/>
  <c r="J269" i="1"/>
  <c r="K269" i="1" s="1"/>
  <c r="I269" i="1"/>
  <c r="J268" i="1"/>
  <c r="I268" i="1"/>
  <c r="K268" i="1" s="1"/>
  <c r="K267" i="1"/>
  <c r="J267" i="1"/>
  <c r="I267" i="1"/>
  <c r="J266" i="1"/>
  <c r="I266" i="1"/>
  <c r="K266" i="1" s="1"/>
  <c r="K265" i="1"/>
  <c r="J265" i="1"/>
  <c r="I265" i="1"/>
  <c r="J264" i="1"/>
  <c r="I264" i="1"/>
  <c r="K264" i="1" s="1"/>
  <c r="K263" i="1"/>
  <c r="J263" i="1"/>
  <c r="I263" i="1"/>
  <c r="J262" i="1"/>
  <c r="I262" i="1"/>
  <c r="K262" i="1" s="1"/>
  <c r="J261" i="1"/>
  <c r="K261" i="1" s="1"/>
  <c r="I261" i="1"/>
  <c r="J260" i="1"/>
  <c r="I260" i="1"/>
  <c r="K260" i="1" s="1"/>
  <c r="K259" i="1"/>
  <c r="J259" i="1"/>
  <c r="I259" i="1"/>
  <c r="J258" i="1"/>
  <c r="I258" i="1"/>
  <c r="J257" i="1"/>
  <c r="K257" i="1" s="1"/>
  <c r="I257" i="1"/>
  <c r="J256" i="1"/>
  <c r="I256" i="1"/>
  <c r="J255" i="1"/>
  <c r="I255" i="1"/>
  <c r="K255" i="1" s="1"/>
  <c r="J254" i="1"/>
  <c r="I254" i="1"/>
  <c r="K253" i="1"/>
  <c r="J253" i="1"/>
  <c r="I253" i="1"/>
  <c r="J252" i="1"/>
  <c r="I252" i="1"/>
  <c r="K252" i="1" s="1"/>
  <c r="K251" i="1"/>
  <c r="J251" i="1"/>
  <c r="I251" i="1"/>
  <c r="J250" i="1"/>
  <c r="I250" i="1"/>
  <c r="K250" i="1" s="1"/>
  <c r="K249" i="1"/>
  <c r="J249" i="1"/>
  <c r="I249" i="1"/>
  <c r="J248" i="1"/>
  <c r="I248" i="1"/>
  <c r="K248" i="1" s="1"/>
  <c r="J247" i="1"/>
  <c r="I247" i="1"/>
  <c r="K247" i="1" s="1"/>
  <c r="J246" i="1"/>
  <c r="I246" i="1"/>
  <c r="J245" i="1"/>
  <c r="K245" i="1" s="1"/>
  <c r="I245" i="1"/>
  <c r="J244" i="1"/>
  <c r="I244" i="1"/>
  <c r="K244" i="1" s="1"/>
  <c r="J243" i="1"/>
  <c r="I243" i="1"/>
  <c r="K243" i="1" s="1"/>
  <c r="J242" i="1"/>
  <c r="I242" i="1"/>
  <c r="K242" i="1" s="1"/>
  <c r="K241" i="1"/>
  <c r="J241" i="1"/>
  <c r="I241" i="1"/>
  <c r="J240" i="1"/>
  <c r="I240" i="1"/>
  <c r="K240" i="1" s="1"/>
  <c r="K239" i="1"/>
  <c r="J239" i="1"/>
  <c r="I239" i="1"/>
  <c r="J238" i="1"/>
  <c r="I238" i="1"/>
  <c r="K238" i="1" s="1"/>
  <c r="J237" i="1"/>
  <c r="K237" i="1" s="1"/>
  <c r="I237" i="1"/>
  <c r="J236" i="1"/>
  <c r="I236" i="1"/>
  <c r="K236" i="1" s="1"/>
  <c r="K235" i="1"/>
  <c r="J235" i="1"/>
  <c r="I235" i="1"/>
  <c r="J234" i="1"/>
  <c r="I234" i="1"/>
  <c r="J233" i="1"/>
  <c r="K233" i="1" s="1"/>
  <c r="I233" i="1"/>
  <c r="J232" i="1"/>
  <c r="I232" i="1"/>
  <c r="J231" i="1"/>
  <c r="I231" i="1"/>
  <c r="K231" i="1" s="1"/>
  <c r="J230" i="1"/>
  <c r="I230" i="1"/>
  <c r="K229" i="1"/>
  <c r="J229" i="1"/>
  <c r="I229" i="1"/>
  <c r="J228" i="1"/>
  <c r="I228" i="1"/>
  <c r="K228" i="1" s="1"/>
  <c r="K227" i="1"/>
  <c r="J227" i="1"/>
  <c r="I227" i="1"/>
  <c r="J226" i="1"/>
  <c r="I226" i="1"/>
  <c r="K226" i="1" s="1"/>
  <c r="K225" i="1"/>
  <c r="J225" i="1"/>
  <c r="I225" i="1"/>
  <c r="J224" i="1"/>
  <c r="I224" i="1"/>
  <c r="K224" i="1" s="1"/>
  <c r="J223" i="1"/>
  <c r="I223" i="1"/>
  <c r="K223" i="1" s="1"/>
  <c r="J222" i="1"/>
  <c r="I222" i="1"/>
  <c r="J221" i="1"/>
  <c r="K221" i="1" s="1"/>
  <c r="I221" i="1"/>
  <c r="J220" i="1"/>
  <c r="I220" i="1"/>
  <c r="K220" i="1" s="1"/>
  <c r="J219" i="1"/>
  <c r="I219" i="1"/>
  <c r="K219" i="1" s="1"/>
  <c r="J218" i="1"/>
  <c r="I218" i="1"/>
  <c r="K218" i="1" s="1"/>
  <c r="K217" i="1"/>
  <c r="J217" i="1"/>
  <c r="I217" i="1"/>
  <c r="J216" i="1"/>
  <c r="I216" i="1"/>
  <c r="K216" i="1" s="1"/>
  <c r="K215" i="1"/>
  <c r="J215" i="1"/>
  <c r="I215" i="1"/>
  <c r="J214" i="1"/>
  <c r="I214" i="1"/>
  <c r="K214" i="1" s="1"/>
  <c r="J213" i="1"/>
  <c r="K213" i="1" s="1"/>
  <c r="I213" i="1"/>
  <c r="J212" i="1"/>
  <c r="I212" i="1"/>
  <c r="K212" i="1" s="1"/>
  <c r="K211" i="1"/>
  <c r="J211" i="1"/>
  <c r="I211" i="1"/>
  <c r="J210" i="1"/>
  <c r="I210" i="1"/>
  <c r="J209" i="1"/>
  <c r="K209" i="1" s="1"/>
  <c r="I209" i="1"/>
  <c r="J208" i="1"/>
  <c r="I208" i="1"/>
  <c r="J207" i="1"/>
  <c r="I207" i="1"/>
  <c r="K207" i="1" s="1"/>
  <c r="J206" i="1"/>
  <c r="I206" i="1"/>
  <c r="K205" i="1"/>
  <c r="J205" i="1"/>
  <c r="I205" i="1"/>
  <c r="J204" i="1"/>
  <c r="I204" i="1"/>
  <c r="K204" i="1" s="1"/>
  <c r="K203" i="1"/>
  <c r="J203" i="1"/>
  <c r="I203" i="1"/>
  <c r="J202" i="1"/>
  <c r="I202" i="1"/>
  <c r="K202" i="1" s="1"/>
  <c r="K201" i="1"/>
  <c r="J201" i="1"/>
  <c r="I201" i="1"/>
  <c r="J200" i="1"/>
  <c r="I200" i="1"/>
  <c r="K200" i="1" s="1"/>
  <c r="J199" i="1"/>
  <c r="I199" i="1"/>
  <c r="K199" i="1" s="1"/>
  <c r="J198" i="1"/>
  <c r="I198" i="1"/>
  <c r="J197" i="1"/>
  <c r="K197" i="1" s="1"/>
  <c r="I197" i="1"/>
  <c r="J196" i="1"/>
  <c r="I196" i="1"/>
  <c r="K196" i="1" s="1"/>
  <c r="J195" i="1"/>
  <c r="I195" i="1"/>
  <c r="K195" i="1" s="1"/>
  <c r="J194" i="1"/>
  <c r="I194" i="1"/>
  <c r="K194" i="1" s="1"/>
  <c r="K193" i="1"/>
  <c r="J193" i="1"/>
  <c r="I193" i="1"/>
  <c r="J192" i="1"/>
  <c r="I192" i="1"/>
  <c r="K192" i="1" s="1"/>
  <c r="K191" i="1"/>
  <c r="J191" i="1"/>
  <c r="I191" i="1"/>
  <c r="J190" i="1"/>
  <c r="I190" i="1"/>
  <c r="K190" i="1" s="1"/>
  <c r="J189" i="1"/>
  <c r="K189" i="1" s="1"/>
  <c r="I189" i="1"/>
  <c r="J188" i="1"/>
  <c r="I188" i="1"/>
  <c r="K188" i="1" s="1"/>
  <c r="K187" i="1"/>
  <c r="J187" i="1"/>
  <c r="I187" i="1"/>
  <c r="J186" i="1"/>
  <c r="I186" i="1"/>
  <c r="J185" i="1"/>
  <c r="K185" i="1" s="1"/>
  <c r="I185" i="1"/>
  <c r="J184" i="1"/>
  <c r="I184" i="1"/>
  <c r="J183" i="1"/>
  <c r="I183" i="1"/>
  <c r="K183" i="1" s="1"/>
  <c r="J182" i="1"/>
  <c r="I182" i="1"/>
  <c r="K181" i="1"/>
  <c r="J181" i="1"/>
  <c r="I181" i="1"/>
  <c r="J180" i="1"/>
  <c r="I180" i="1"/>
  <c r="K180" i="1" s="1"/>
  <c r="K179" i="1"/>
  <c r="J179" i="1"/>
  <c r="I179" i="1"/>
  <c r="J178" i="1"/>
  <c r="I178" i="1"/>
  <c r="K178" i="1" s="1"/>
  <c r="K177" i="1"/>
  <c r="J177" i="1"/>
  <c r="I177" i="1"/>
  <c r="J176" i="1"/>
  <c r="I176" i="1"/>
  <c r="K176" i="1" s="1"/>
  <c r="J175" i="1"/>
  <c r="I175" i="1"/>
  <c r="K175" i="1" s="1"/>
  <c r="J174" i="1"/>
  <c r="I174" i="1"/>
  <c r="J173" i="1"/>
  <c r="K173" i="1" s="1"/>
  <c r="I173" i="1"/>
  <c r="J172" i="1"/>
  <c r="I172" i="1"/>
  <c r="K172" i="1" s="1"/>
  <c r="J171" i="1"/>
  <c r="I171" i="1"/>
  <c r="K171" i="1" s="1"/>
  <c r="J170" i="1"/>
  <c r="I170" i="1"/>
  <c r="K170" i="1" s="1"/>
  <c r="K169" i="1"/>
  <c r="J169" i="1"/>
  <c r="I169" i="1"/>
  <c r="J168" i="1"/>
  <c r="I168" i="1"/>
  <c r="K168" i="1" s="1"/>
  <c r="J167" i="1"/>
  <c r="K167" i="1" s="1"/>
  <c r="I167" i="1"/>
  <c r="J166" i="1"/>
  <c r="I166" i="1"/>
  <c r="K166" i="1" s="1"/>
  <c r="J165" i="1"/>
  <c r="K165" i="1" s="1"/>
  <c r="I165" i="1"/>
  <c r="J164" i="1"/>
  <c r="I164" i="1"/>
  <c r="K164" i="1" s="1"/>
  <c r="J163" i="1"/>
  <c r="K163" i="1" s="1"/>
  <c r="I163" i="1"/>
  <c r="J162" i="1"/>
  <c r="I162" i="1"/>
  <c r="J161" i="1"/>
  <c r="K161" i="1" s="1"/>
  <c r="I161" i="1"/>
  <c r="J160" i="1"/>
  <c r="I160" i="1"/>
  <c r="J159" i="1"/>
  <c r="I159" i="1"/>
  <c r="K159" i="1" s="1"/>
  <c r="J158" i="1"/>
  <c r="I158" i="1"/>
  <c r="K157" i="1"/>
  <c r="J157" i="1"/>
  <c r="I157" i="1"/>
  <c r="J156" i="1"/>
  <c r="I156" i="1"/>
  <c r="K156" i="1" s="1"/>
  <c r="K155" i="1"/>
  <c r="J155" i="1"/>
  <c r="I155" i="1"/>
  <c r="J154" i="1"/>
  <c r="I154" i="1"/>
  <c r="K154" i="1" s="1"/>
  <c r="K153" i="1"/>
  <c r="J153" i="1"/>
  <c r="I153" i="1"/>
  <c r="J152" i="1"/>
  <c r="I152" i="1"/>
  <c r="K152" i="1" s="1"/>
  <c r="J151" i="1"/>
  <c r="I151" i="1"/>
  <c r="K151" i="1" s="1"/>
  <c r="J150" i="1"/>
  <c r="I150" i="1"/>
  <c r="J149" i="1"/>
  <c r="K149" i="1" s="1"/>
  <c r="I149" i="1"/>
  <c r="J148" i="1"/>
  <c r="I148" i="1"/>
  <c r="K148" i="1" s="1"/>
  <c r="J147" i="1"/>
  <c r="I147" i="1"/>
  <c r="K147" i="1" s="1"/>
  <c r="J146" i="1"/>
  <c r="I146" i="1"/>
  <c r="K146" i="1" s="1"/>
  <c r="K145" i="1"/>
  <c r="J145" i="1"/>
  <c r="I145" i="1"/>
  <c r="J144" i="1"/>
  <c r="I144" i="1"/>
  <c r="K144" i="1" s="1"/>
  <c r="J143" i="1"/>
  <c r="K143" i="1" s="1"/>
  <c r="I143" i="1"/>
  <c r="J142" i="1"/>
  <c r="I142" i="1"/>
  <c r="K142" i="1" s="1"/>
  <c r="J141" i="1"/>
  <c r="K141" i="1" s="1"/>
  <c r="I141" i="1"/>
  <c r="J140" i="1"/>
  <c r="I140" i="1"/>
  <c r="K140" i="1" s="1"/>
  <c r="J139" i="1"/>
  <c r="K139" i="1" s="1"/>
  <c r="I139" i="1"/>
  <c r="J138" i="1"/>
  <c r="I138" i="1"/>
  <c r="J137" i="1"/>
  <c r="K137" i="1" s="1"/>
  <c r="I137" i="1"/>
  <c r="J136" i="1"/>
  <c r="I136" i="1"/>
  <c r="J135" i="1"/>
  <c r="I135" i="1"/>
  <c r="K135" i="1" s="1"/>
  <c r="J134" i="1"/>
  <c r="I134" i="1"/>
  <c r="K133" i="1"/>
  <c r="J133" i="1"/>
  <c r="I133" i="1"/>
  <c r="J132" i="1"/>
  <c r="I132" i="1"/>
  <c r="K132" i="1" s="1"/>
  <c r="K131" i="1"/>
  <c r="J131" i="1"/>
  <c r="I131" i="1"/>
  <c r="J130" i="1"/>
  <c r="I130" i="1"/>
  <c r="K130" i="1" s="1"/>
  <c r="K129" i="1"/>
  <c r="J129" i="1"/>
  <c r="I129" i="1"/>
  <c r="J128" i="1"/>
  <c r="I128" i="1"/>
  <c r="K128" i="1" s="1"/>
  <c r="J127" i="1"/>
  <c r="I127" i="1"/>
  <c r="K127" i="1" s="1"/>
  <c r="K126" i="1"/>
  <c r="J126" i="1"/>
  <c r="I126" i="1"/>
  <c r="J125" i="1"/>
  <c r="K125" i="1" s="1"/>
  <c r="I125" i="1"/>
  <c r="J124" i="1"/>
  <c r="I124" i="1"/>
  <c r="J123" i="1"/>
  <c r="I123" i="1"/>
  <c r="K123" i="1" s="1"/>
  <c r="K122" i="1"/>
  <c r="J122" i="1"/>
  <c r="I122" i="1"/>
  <c r="J121" i="1"/>
  <c r="K121" i="1" s="1"/>
  <c r="I121" i="1"/>
  <c r="J120" i="1"/>
  <c r="I120" i="1"/>
  <c r="K120" i="1" s="1"/>
  <c r="J119" i="1"/>
  <c r="I119" i="1"/>
  <c r="K119" i="1" s="1"/>
  <c r="J118" i="1"/>
  <c r="I118" i="1"/>
  <c r="K118" i="1" s="1"/>
  <c r="J117" i="1"/>
  <c r="K117" i="1" s="1"/>
  <c r="I117" i="1"/>
  <c r="J116" i="1"/>
  <c r="I116" i="1"/>
  <c r="K115" i="1"/>
  <c r="J115" i="1"/>
  <c r="I115" i="1"/>
  <c r="J114" i="1"/>
  <c r="I114" i="1"/>
  <c r="K114" i="1" s="1"/>
  <c r="K113" i="1"/>
  <c r="J113" i="1"/>
  <c r="I113" i="1"/>
  <c r="J112" i="1"/>
  <c r="I112" i="1"/>
  <c r="K112" i="1" s="1"/>
  <c r="J111" i="1"/>
  <c r="K111" i="1" s="1"/>
  <c r="I111" i="1"/>
  <c r="J110" i="1"/>
  <c r="I110" i="1"/>
  <c r="K110" i="1" s="1"/>
  <c r="J109" i="1"/>
  <c r="K109" i="1" s="1"/>
  <c r="I109" i="1"/>
  <c r="J108" i="1"/>
  <c r="I108" i="1"/>
  <c r="K108" i="1" s="1"/>
  <c r="K107" i="1"/>
  <c r="J107" i="1"/>
  <c r="I107" i="1"/>
  <c r="J106" i="1"/>
  <c r="I106" i="1"/>
  <c r="K106" i="1" s="1"/>
  <c r="J105" i="1"/>
  <c r="K105" i="1" s="1"/>
  <c r="I105" i="1"/>
  <c r="J104" i="1"/>
  <c r="I104" i="1"/>
  <c r="K104" i="1" s="1"/>
  <c r="J103" i="1"/>
  <c r="K103" i="1" s="1"/>
  <c r="I103" i="1"/>
  <c r="K102" i="1"/>
  <c r="J102" i="1"/>
  <c r="I102" i="1"/>
  <c r="J101" i="1"/>
  <c r="K101" i="1" s="1"/>
  <c r="I101" i="1"/>
  <c r="J100" i="1"/>
  <c r="I100" i="1"/>
  <c r="J99" i="1"/>
  <c r="I99" i="1"/>
  <c r="K99" i="1" s="1"/>
  <c r="J98" i="1"/>
  <c r="K98" i="1" s="1"/>
  <c r="I98" i="1"/>
  <c r="J97" i="1"/>
  <c r="K97" i="1" s="1"/>
  <c r="I97" i="1"/>
  <c r="J96" i="1"/>
  <c r="I96" i="1"/>
  <c r="K96" i="1" s="1"/>
  <c r="J95" i="1"/>
  <c r="I95" i="1"/>
  <c r="K95" i="1" s="1"/>
  <c r="K94" i="1"/>
  <c r="J94" i="1"/>
  <c r="I94" i="1"/>
  <c r="J93" i="1"/>
  <c r="K93" i="1" s="1"/>
  <c r="I93" i="1"/>
  <c r="J92" i="1"/>
  <c r="I92" i="1"/>
  <c r="K92" i="1" s="1"/>
  <c r="K91" i="1"/>
  <c r="J91" i="1"/>
  <c r="I91" i="1"/>
  <c r="J90" i="1"/>
  <c r="K90" i="1" s="1"/>
  <c r="I90" i="1"/>
  <c r="K89" i="1"/>
  <c r="J89" i="1"/>
  <c r="I89" i="1"/>
  <c r="J88" i="1"/>
  <c r="I88" i="1"/>
  <c r="K88" i="1" s="1"/>
  <c r="J87" i="1"/>
  <c r="K87" i="1" s="1"/>
  <c r="I87" i="1"/>
  <c r="J86" i="1"/>
  <c r="I86" i="1"/>
  <c r="K86" i="1" s="1"/>
  <c r="J85" i="1"/>
  <c r="K85" i="1" s="1"/>
  <c r="I85" i="1"/>
  <c r="J84" i="1"/>
  <c r="I84" i="1"/>
  <c r="K84" i="1" s="1"/>
  <c r="J83" i="1"/>
  <c r="I83" i="1"/>
  <c r="K83" i="1" s="1"/>
  <c r="J82" i="1"/>
  <c r="I82" i="1"/>
  <c r="K82" i="1" s="1"/>
  <c r="K81" i="1"/>
  <c r="J81" i="1"/>
  <c r="I81" i="1"/>
  <c r="J80" i="1"/>
  <c r="I80" i="1"/>
  <c r="K80" i="1" s="1"/>
  <c r="J79" i="1"/>
  <c r="I79" i="1"/>
  <c r="K79" i="1" s="1"/>
  <c r="K78" i="1"/>
  <c r="J78" i="1"/>
  <c r="I78" i="1"/>
  <c r="J77" i="1"/>
  <c r="K77" i="1" s="1"/>
  <c r="I77" i="1"/>
  <c r="J76" i="1"/>
  <c r="I76" i="1"/>
  <c r="J75" i="1"/>
  <c r="I75" i="1"/>
  <c r="K75" i="1" s="1"/>
  <c r="J74" i="1"/>
  <c r="K74" i="1" s="1"/>
  <c r="I74" i="1"/>
  <c r="J73" i="1"/>
  <c r="K73" i="1" s="1"/>
  <c r="I73" i="1"/>
  <c r="J72" i="1"/>
  <c r="I72" i="1"/>
  <c r="K72" i="1" s="1"/>
  <c r="J71" i="1"/>
  <c r="I71" i="1"/>
  <c r="K71" i="1" s="1"/>
  <c r="J70" i="1"/>
  <c r="I70" i="1"/>
  <c r="K70" i="1" s="1"/>
  <c r="J69" i="1"/>
  <c r="K69" i="1" s="1"/>
  <c r="I69" i="1"/>
  <c r="J68" i="1"/>
  <c r="I68" i="1"/>
  <c r="K67" i="1"/>
  <c r="J67" i="1"/>
  <c r="I67" i="1"/>
  <c r="J66" i="1"/>
  <c r="I66" i="1"/>
  <c r="K66" i="1" s="1"/>
  <c r="K65" i="1"/>
  <c r="J65" i="1"/>
  <c r="I65" i="1"/>
  <c r="J64" i="1"/>
  <c r="I64" i="1"/>
  <c r="K64" i="1" s="1"/>
  <c r="J63" i="1"/>
  <c r="K63" i="1" s="1"/>
  <c r="I63" i="1"/>
  <c r="J62" i="1"/>
  <c r="I62" i="1"/>
  <c r="K62" i="1" s="1"/>
  <c r="J61" i="1"/>
  <c r="K61" i="1" s="1"/>
  <c r="I61" i="1"/>
  <c r="J60" i="1"/>
  <c r="I60" i="1"/>
  <c r="K60" i="1" s="1"/>
  <c r="K59" i="1"/>
  <c r="J59" i="1"/>
  <c r="I59" i="1"/>
  <c r="J58" i="1"/>
  <c r="I58" i="1"/>
  <c r="K58" i="1" s="1"/>
  <c r="J57" i="1"/>
  <c r="K57" i="1" s="1"/>
  <c r="I57" i="1"/>
  <c r="J56" i="1"/>
  <c r="I56" i="1"/>
  <c r="K56" i="1" s="1"/>
  <c r="J55" i="1"/>
  <c r="K55" i="1" s="1"/>
  <c r="I55" i="1"/>
  <c r="K54" i="1"/>
  <c r="J54" i="1"/>
  <c r="I54" i="1"/>
  <c r="J53" i="1"/>
  <c r="K53" i="1" s="1"/>
  <c r="I53" i="1"/>
  <c r="J52" i="1"/>
  <c r="I52" i="1"/>
  <c r="J51" i="1"/>
  <c r="I51" i="1"/>
  <c r="K51" i="1" s="1"/>
  <c r="J50" i="1"/>
  <c r="K50" i="1" s="1"/>
  <c r="I50" i="1"/>
  <c r="J49" i="1"/>
  <c r="K49" i="1" s="1"/>
  <c r="I49" i="1"/>
  <c r="J48" i="1"/>
  <c r="I48" i="1"/>
  <c r="K48" i="1" s="1"/>
  <c r="J47" i="1"/>
  <c r="I47" i="1"/>
  <c r="K47" i="1" s="1"/>
  <c r="J46" i="1"/>
  <c r="I46" i="1"/>
  <c r="K46" i="1" s="1"/>
  <c r="J45" i="1"/>
  <c r="K45" i="1" s="1"/>
  <c r="I45" i="1"/>
  <c r="J44" i="1"/>
  <c r="I44" i="1"/>
  <c r="K44" i="1" s="1"/>
  <c r="K43" i="1"/>
  <c r="J43" i="1"/>
  <c r="I43" i="1"/>
  <c r="J42" i="1"/>
  <c r="K42" i="1" s="1"/>
  <c r="I42" i="1"/>
  <c r="K41" i="1"/>
  <c r="J41" i="1"/>
  <c r="I41" i="1"/>
  <c r="J40" i="1"/>
  <c r="I40" i="1"/>
  <c r="K40" i="1" s="1"/>
  <c r="J39" i="1"/>
  <c r="K39" i="1" s="1"/>
  <c r="I39" i="1"/>
  <c r="J38" i="1"/>
  <c r="I38" i="1"/>
  <c r="K38" i="1" s="1"/>
  <c r="J37" i="1"/>
  <c r="K37" i="1" s="1"/>
  <c r="I37" i="1"/>
  <c r="J36" i="1"/>
  <c r="I36" i="1"/>
  <c r="K36" i="1" s="1"/>
  <c r="J35" i="1"/>
  <c r="I35" i="1"/>
  <c r="K35" i="1" s="1"/>
  <c r="J34" i="1"/>
  <c r="I34" i="1"/>
  <c r="K34" i="1" s="1"/>
  <c r="K33" i="1"/>
  <c r="J33" i="1"/>
  <c r="I33" i="1"/>
  <c r="J32" i="1"/>
  <c r="I32" i="1"/>
  <c r="K32" i="1" s="1"/>
  <c r="J31" i="1"/>
  <c r="I31" i="1"/>
  <c r="K31" i="1" s="1"/>
  <c r="J30" i="1"/>
  <c r="K30" i="1" s="1"/>
  <c r="I30" i="1"/>
  <c r="J29" i="1"/>
  <c r="K29" i="1" s="1"/>
  <c r="I29" i="1"/>
  <c r="J28" i="1"/>
  <c r="I28" i="1"/>
  <c r="J27" i="1"/>
  <c r="I27" i="1"/>
  <c r="K27" i="1" s="1"/>
  <c r="J26" i="1"/>
  <c r="I26" i="1"/>
  <c r="J25" i="1"/>
  <c r="I25" i="1"/>
  <c r="J24" i="1"/>
  <c r="I24" i="1"/>
  <c r="J23" i="1"/>
  <c r="I23" i="1"/>
  <c r="J22" i="1"/>
  <c r="I22" i="1"/>
  <c r="K22" i="1" s="1"/>
  <c r="J21" i="1"/>
  <c r="I21" i="1"/>
  <c r="J20" i="1"/>
  <c r="I20" i="1"/>
  <c r="J19" i="1"/>
  <c r="I19" i="1"/>
  <c r="K19" i="1" s="1"/>
  <c r="J18" i="1"/>
  <c r="I18" i="1"/>
  <c r="K18" i="1" s="1"/>
  <c r="J17" i="1"/>
  <c r="I17" i="1"/>
  <c r="K17" i="1" s="1"/>
  <c r="J16" i="1"/>
  <c r="I16" i="1"/>
  <c r="K16" i="1" s="1"/>
  <c r="J15" i="1"/>
  <c r="I15" i="1"/>
  <c r="J14" i="1"/>
  <c r="I14" i="1"/>
  <c r="K14" i="1" s="1"/>
  <c r="J13" i="1"/>
  <c r="K13" i="1" s="1"/>
  <c r="I13" i="1"/>
  <c r="J12" i="1"/>
  <c r="I12" i="1"/>
  <c r="J11" i="1"/>
  <c r="I11" i="1"/>
  <c r="K11" i="1" s="1"/>
  <c r="J10" i="1"/>
  <c r="I10" i="1"/>
  <c r="K10" i="1" s="1"/>
  <c r="J9" i="1"/>
  <c r="I9" i="1"/>
  <c r="J8" i="1"/>
  <c r="I8" i="1"/>
  <c r="K8" i="1" s="1"/>
  <c r="J7" i="1"/>
  <c r="K7" i="1" s="1"/>
  <c r="I7" i="1"/>
  <c r="K6" i="1"/>
  <c r="J6" i="1"/>
  <c r="I6" i="1"/>
  <c r="J5" i="1"/>
  <c r="K5" i="1" s="1"/>
  <c r="I5" i="1"/>
  <c r="J4" i="1"/>
  <c r="I4" i="1"/>
  <c r="J3" i="1"/>
  <c r="I3" i="1"/>
  <c r="K3" i="1" s="1"/>
  <c r="J2" i="1"/>
  <c r="I2" i="1"/>
  <c r="K14" i="2" l="1"/>
  <c r="K10" i="2"/>
  <c r="K12" i="2"/>
  <c r="K11" i="2"/>
  <c r="K26" i="1"/>
  <c r="K15" i="1"/>
  <c r="K9" i="1"/>
  <c r="K21" i="1"/>
  <c r="K25" i="1"/>
  <c r="K2" i="1"/>
  <c r="K12" i="1"/>
  <c r="K23" i="1"/>
  <c r="K24" i="1"/>
  <c r="K4" i="1"/>
  <c r="D4" i="2" s="1"/>
  <c r="K52" i="1"/>
  <c r="K100" i="1"/>
  <c r="K150" i="1"/>
  <c r="K174" i="1"/>
  <c r="K198" i="1"/>
  <c r="K222" i="1"/>
  <c r="K246" i="1"/>
  <c r="K270" i="1"/>
  <c r="K294" i="1"/>
  <c r="K318" i="1"/>
  <c r="K342" i="1"/>
  <c r="K366" i="1"/>
  <c r="K390" i="1"/>
  <c r="K136" i="1"/>
  <c r="K160" i="1"/>
  <c r="K184" i="1"/>
  <c r="K208" i="1"/>
  <c r="K232" i="1"/>
  <c r="K256" i="1"/>
  <c r="K280" i="1"/>
  <c r="K304" i="1"/>
  <c r="K328" i="1"/>
  <c r="K352" i="1"/>
  <c r="K376" i="1"/>
  <c r="K400" i="1"/>
  <c r="K430" i="1"/>
  <c r="K500" i="1"/>
  <c r="K276" i="1"/>
  <c r="K300" i="1"/>
  <c r="K324" i="1"/>
  <c r="K348" i="1"/>
  <c r="K372" i="1"/>
  <c r="K396" i="1"/>
  <c r="D3" i="2"/>
  <c r="C3" i="2"/>
  <c r="B3" i="2"/>
  <c r="D2" i="2"/>
  <c r="C2" i="2"/>
  <c r="B2" i="2"/>
  <c r="C4" i="2"/>
  <c r="K28" i="1"/>
  <c r="K76" i="1"/>
  <c r="K124" i="1"/>
  <c r="K138" i="1"/>
  <c r="K162" i="1"/>
  <c r="K186" i="1"/>
  <c r="K210" i="1"/>
  <c r="K234" i="1"/>
  <c r="K258" i="1"/>
  <c r="K282" i="1"/>
  <c r="K306" i="1"/>
  <c r="K330" i="1"/>
  <c r="K354" i="1"/>
  <c r="K378" i="1"/>
  <c r="K402" i="1"/>
  <c r="K452" i="1"/>
  <c r="K20" i="1"/>
  <c r="B4" i="2" s="1"/>
  <c r="K68" i="1"/>
  <c r="K116" i="1"/>
  <c r="K134" i="1"/>
  <c r="K158" i="1"/>
  <c r="K182" i="1"/>
  <c r="K206" i="1"/>
  <c r="K230" i="1"/>
  <c r="K254" i="1"/>
  <c r="K278" i="1"/>
  <c r="K302" i="1"/>
  <c r="K326" i="1"/>
  <c r="K350" i="1"/>
  <c r="K374" i="1"/>
  <c r="K398" i="1"/>
  <c r="K428" i="1"/>
  <c r="K478" i="1"/>
  <c r="K719" i="1"/>
  <c r="K673" i="1"/>
  <c r="K684" i="1"/>
  <c r="K725" i="1"/>
  <c r="K804" i="1"/>
  <c r="K852" i="1"/>
  <c r="K948" i="1"/>
  <c r="K695" i="1"/>
  <c r="K706" i="1"/>
  <c r="K721" i="1"/>
  <c r="K732" i="1"/>
  <c r="K773" i="1"/>
  <c r="K671" i="1"/>
  <c r="K697" i="1"/>
  <c r="K677" i="1"/>
  <c r="K713" i="1"/>
  <c r="K761" i="1"/>
  <c r="K809" i="1"/>
  <c r="K857" i="1"/>
  <c r="K905" i="1"/>
  <c r="K953" i="1"/>
  <c r="K705" i="1"/>
  <c r="K753" i="1"/>
  <c r="K801" i="1"/>
  <c r="K849" i="1"/>
  <c r="K897" i="1"/>
  <c r="K945" i="1"/>
  <c r="K701" i="1"/>
  <c r="K749" i="1"/>
  <c r="K797" i="1"/>
  <c r="K845" i="1"/>
  <c r="K893" i="1"/>
  <c r="K941" i="1"/>
  <c r="K793" i="1"/>
  <c r="K841" i="1"/>
  <c r="K889" i="1"/>
  <c r="K937" i="1"/>
  <c r="K689" i="1"/>
  <c r="K737" i="1"/>
  <c r="K785" i="1"/>
  <c r="K833" i="1"/>
  <c r="K881" i="1"/>
  <c r="K929" i="1"/>
  <c r="K977" i="1"/>
  <c r="K681" i="1"/>
  <c r="K729" i="1"/>
  <c r="K777" i="1"/>
  <c r="K821" i="1"/>
  <c r="K869" i="1"/>
  <c r="K917" i="1"/>
  <c r="K965" i="1"/>
  <c r="E4" i="2" l="1"/>
  <c r="E2" i="2"/>
  <c r="E3" i="2"/>
</calcChain>
</file>

<file path=xl/sharedStrings.xml><?xml version="1.0" encoding="utf-8"?>
<sst xmlns="http://schemas.openxmlformats.org/spreadsheetml/2006/main" count="252" uniqueCount="141">
  <si>
    <t>Name</t>
  </si>
  <si>
    <t>Channel Partner Group</t>
  </si>
  <si>
    <t>Onboarded Date</t>
  </si>
  <si>
    <t>Partner Mood</t>
  </si>
  <si>
    <t>Enrollment Reason</t>
  </si>
  <si>
    <t>BDR Tag</t>
  </si>
  <si>
    <t>Referrer Email</t>
  </si>
  <si>
    <t>Referrer Phone</t>
  </si>
  <si>
    <t>Person</t>
  </si>
  <si>
    <t>Type</t>
  </si>
  <si>
    <t>Commission</t>
  </si>
  <si>
    <t>Rep</t>
  </si>
  <si>
    <t>Onboarded</t>
  </si>
  <si>
    <t>Referral</t>
  </si>
  <si>
    <t>Transfer</t>
  </si>
  <si>
    <t>Total</t>
  </si>
  <si>
    <t>Kirk</t>
  </si>
  <si>
    <t>Justin</t>
  </si>
  <si>
    <t>Reyna</t>
  </si>
  <si>
    <t>Daily Counts by Onboarded Date (enter/paste dates in column A below)</t>
  </si>
  <si>
    <t>Kirk Onboarded #</t>
  </si>
  <si>
    <t>Kirk Referral #</t>
  </si>
  <si>
    <t>Kirk Transfer #</t>
  </si>
  <si>
    <t>Justin Onboarded #</t>
  </si>
  <si>
    <t>Justin Referral #</t>
  </si>
  <si>
    <t>Justin Transfer #</t>
  </si>
  <si>
    <t>Reyna Onboarded #</t>
  </si>
  <si>
    <t>Reyna Referral #</t>
  </si>
  <si>
    <t>Reyna Transfer #</t>
  </si>
  <si>
    <t>Total Events #</t>
  </si>
  <si>
    <t>Weekly Commissions Template</t>
  </si>
  <si>
    <t>1) Paste your CSV data into the Data sheet (columns A–H only).</t>
  </si>
  <si>
    <t>2) Do NOT overwrite columns I–K (they calculate commissions automatically).</t>
  </si>
  <si>
    <t>3) Go to the Summary sheet to see totals by rep and type.</t>
  </si>
  <si>
    <t>4) BDR Tag can include extra words — logic is keyword-based.</t>
  </si>
  <si>
    <t>Henry Simpson</t>
  </si>
  <si>
    <t>Other</t>
  </si>
  <si>
    <t>Neutral</t>
  </si>
  <si>
    <t>Expand Business to Tax Resolution</t>
  </si>
  <si>
    <t>Kirk Onboarded</t>
  </si>
  <si>
    <t>lee45@bellsouth.net</t>
  </si>
  <si>
    <t>601-259-1630</t>
  </si>
  <si>
    <t>Nicolette Jackson</t>
  </si>
  <si>
    <t>TPG</t>
  </si>
  <si>
    <t>Satisfied</t>
  </si>
  <si>
    <t>Learn More</t>
  </si>
  <si>
    <t>Reyna Onboarded</t>
  </si>
  <si>
    <t>njackson@jacksonstartaxservices.com</t>
  </si>
  <si>
    <t>334-666-3961</t>
  </si>
  <si>
    <t>Reginald Marshall</t>
  </si>
  <si>
    <t>Reyna Transfer</t>
  </si>
  <si>
    <t>reginaldmarshall@gmail.com</t>
  </si>
  <si>
    <t>214-906-5649</t>
  </si>
  <si>
    <t>TERENCE BAKSMATY</t>
  </si>
  <si>
    <t>Drake</t>
  </si>
  <si>
    <t>terrybaksmaty@gmail.com</t>
  </si>
  <si>
    <t>646-215-1898</t>
  </si>
  <si>
    <t>Karen Graham</t>
  </si>
  <si>
    <t>Pathward RA</t>
  </si>
  <si>
    <t>kygfinancial@gmail.com</t>
  </si>
  <si>
    <t>832-229-6961</t>
  </si>
  <si>
    <t>Rachel Hunter</t>
  </si>
  <si>
    <t>lindseyrachel99@yahoo.com</t>
  </si>
  <si>
    <t>312-783-6098</t>
  </si>
  <si>
    <t>Joy Ouma</t>
  </si>
  <si>
    <t>Immediate Referral, Expand Business to Tax Resolution</t>
  </si>
  <si>
    <t>Justin Onboarded</t>
  </si>
  <si>
    <t>joyouma@lovelegacychristmin.net</t>
  </si>
  <si>
    <t>608-297-0724</t>
  </si>
  <si>
    <t>Rosa Velez</t>
  </si>
  <si>
    <t>newstarrealty8@gmail.com</t>
  </si>
  <si>
    <t>323-537-8334</t>
  </si>
  <si>
    <t>Sahar Snell</t>
  </si>
  <si>
    <t>Immediate Referral</t>
  </si>
  <si>
    <t>saharsnellllc@yahoo.com</t>
  </si>
  <si>
    <t>334-669-0857</t>
  </si>
  <si>
    <t>Miykiel Bell</t>
  </si>
  <si>
    <t>Excited</t>
  </si>
  <si>
    <t>basuinc@gmail.com</t>
  </si>
  <si>
    <t>318-278-5463</t>
  </si>
  <si>
    <t>John Petitdos</t>
  </si>
  <si>
    <t>info.adventcorp@gmail.com</t>
  </si>
  <si>
    <t>954-234-8134</t>
  </si>
  <si>
    <t>Jordan Beltran</t>
  </si>
  <si>
    <t>speedrefund@yahoo.com</t>
  </si>
  <si>
    <t>702-759-9000</t>
  </si>
  <si>
    <t>Omar Abdi</t>
  </si>
  <si>
    <t>omargaduud@gmail.com</t>
  </si>
  <si>
    <t>801-935-5063</t>
  </si>
  <si>
    <t>Gregory Niolet</t>
  </si>
  <si>
    <t>gregniolet@gmail.com</t>
  </si>
  <si>
    <t>228-452-9691</t>
  </si>
  <si>
    <t>Trinity Hayes</t>
  </si>
  <si>
    <t>trinitytrancitions@gmail.com</t>
  </si>
  <si>
    <t>470-892-8112</t>
  </si>
  <si>
    <t>Travis Barrance</t>
  </si>
  <si>
    <t>Learn More, Immediate Referral</t>
  </si>
  <si>
    <t>travisbarrance@gmail.com</t>
  </si>
  <si>
    <t>469-371-5217</t>
  </si>
  <si>
    <t>Reyna Referral</t>
  </si>
  <si>
    <t>Jessica Wiggins</t>
  </si>
  <si>
    <t>kkassociates1040@gmail.com</t>
  </si>
  <si>
    <t>251-229-1096</t>
  </si>
  <si>
    <t>Samuel Myl</t>
  </si>
  <si>
    <t>bsmyl2022@gmail.com</t>
  </si>
  <si>
    <t>857-498-1144</t>
  </si>
  <si>
    <t>Yunis Segura Mcnally</t>
  </si>
  <si>
    <t>ysmcnally@yuniqueonline.com</t>
  </si>
  <si>
    <t>305-443-5727</t>
  </si>
  <si>
    <t>Schnaider Edmond</t>
  </si>
  <si>
    <t>schnaidere@yahoo.com</t>
  </si>
  <si>
    <t>443-282-8743</t>
  </si>
  <si>
    <t>Delilah Depriest</t>
  </si>
  <si>
    <t>custommadetravel@yahoo.com</t>
  </si>
  <si>
    <t>313-687-2236</t>
  </si>
  <si>
    <t>Catherine Perrilloux</t>
  </si>
  <si>
    <t>geekgurlnola@gmail.com</t>
  </si>
  <si>
    <t>504-290-9037</t>
  </si>
  <si>
    <t>Ashanda Mitchell</t>
  </si>
  <si>
    <t>arichardsonly@gmail.com</t>
  </si>
  <si>
    <t>985-778-8939</t>
  </si>
  <si>
    <t>Ramona Davis</t>
  </si>
  <si>
    <t>Justin Referral</t>
  </si>
  <si>
    <t>Monasmobile@yahoo.com</t>
  </si>
  <si>
    <t>713-445-6233</t>
  </si>
  <si>
    <t>Princess Clark-wendel</t>
  </si>
  <si>
    <t>princess@jasminerosefinancial.com</t>
  </si>
  <si>
    <t>773-991-9885</t>
  </si>
  <si>
    <t>Yocasta Velasquez</t>
  </si>
  <si>
    <t>Kirk Transfer</t>
  </si>
  <si>
    <t>yocastavelasquez@victoriataxpro.com</t>
  </si>
  <si>
    <t>646-457-5529</t>
  </si>
  <si>
    <t>TAMMY ALECIO ALECIO</t>
  </si>
  <si>
    <t>tammy@tabscnc.com</t>
  </si>
  <si>
    <t>919-244-5715</t>
  </si>
  <si>
    <t>Carl Hanton</t>
  </si>
  <si>
    <t>carl@premieretax.com</t>
  </si>
  <si>
    <t>941-720-4282</t>
  </si>
  <si>
    <t>Tashondra Smith</t>
  </si>
  <si>
    <t>shon.smith2013@gmail.com</t>
  </si>
  <si>
    <t>214-605-8356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</si>
</sst>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44" fontId="0" fillId="0" borderId="0" xfId="1" applyFont="1"/>
    <xf numFmtId="14" fontId="0" fillId="0" borderId="0" xfId="0" applyNumberFormat="1"/>
    <xf numFmtId="16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K11" sqref="K11"/>
    </sheetView>
  </sheetViews>
  <sheetFormatPr defaultRowHeight="15" x14ac:dyDescent="0.25"/>
  <cols>
    <col min="1" max="2" width="21.5703125" bestFit="1" customWidth="1"/>
    <col min="3" max="3" width="15.7109375" bestFit="1" customWidth="1"/>
    <col min="4" max="4" width="13.28515625" bestFit="1" customWidth="1"/>
    <col min="5" max="5" width="51" bestFit="1" customWidth="1"/>
    <col min="6" max="6" width="17" bestFit="1" customWidth="1"/>
    <col min="7" max="7" width="35.7109375" bestFit="1" customWidth="1"/>
    <col min="8" max="8" width="14.7109375" bestFit="1" customWidth="1"/>
    <col min="9" max="9" width="9.42578125" bestFit="1" customWidth="1"/>
    <col min="10" max="10" width="11" bestFit="1" customWidth="1"/>
    <col min="11" max="11" width="13.42578125" style="3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</row>
    <row r="2" spans="1:11" x14ac:dyDescent="0.25">
      <c r="A2" t="s">
        <v>35</v>
      </c>
      <c r="B2" t="s">
        <v>36</v>
      </c>
      <c r="C2">
        <v>46021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tr">
        <f t="shared" ref="I2:I65" si="0">IF(ISNUMBER(SEARCH("kirk",F2)),"Kirk",IF(ISNUMBER(SEARCH("justin",F2)),"Justin",IF(ISNUMBER(SEARCH("reyna",F2)),"Reyna","Unknown")))</f>
        <v>Kirk</v>
      </c>
      <c r="J2" t="str">
        <f t="shared" ref="J2:J65" si="1">IF(ISNUMBER(SEARCH("onboard",F2)),"Onboarded",IF(ISNUMBER(SEARCH("referr",F2)),"Referral",IF(ISNUMBER(SEARCH("transfer",F2)),"Transfer","Other")))</f>
        <v>Onboarded</v>
      </c>
      <c r="K2" s="3">
        <f t="shared" ref="K2:K65" si="2">IF(AND(I2="Kirk",J2="Onboarded"),3,IF(AND(I2="Kirk",J2="Referral"),2,IF(AND(I2="Kirk",J2="Transfer"),2,IF(AND(I2="Justin",J2="Onboarded"),3,IF(AND(I2="Justin",J2="Referral"),2,IF(AND(I2="Justin",J2="Transfer"),2,IF(AND(I2="Reyna",J2="Onboarded"),3,IF(AND(I2="Reyna",J2="Referral"),2,IF(AND(I2="Reyna",J2="Transfer"),2,0)))))))))</f>
        <v>3</v>
      </c>
    </row>
    <row r="3" spans="1:11" x14ac:dyDescent="0.25">
      <c r="A3" t="s">
        <v>42</v>
      </c>
      <c r="B3" t="s">
        <v>43</v>
      </c>
      <c r="C3">
        <v>46024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tr">
        <f t="shared" si="0"/>
        <v>Reyna</v>
      </c>
      <c r="J3" t="str">
        <f t="shared" si="1"/>
        <v>Onboarded</v>
      </c>
      <c r="K3" s="3">
        <f t="shared" si="2"/>
        <v>3</v>
      </c>
    </row>
    <row r="4" spans="1:11" x14ac:dyDescent="0.25">
      <c r="A4" t="s">
        <v>49</v>
      </c>
      <c r="B4" t="s">
        <v>36</v>
      </c>
      <c r="C4">
        <v>46021</v>
      </c>
      <c r="D4" t="s">
        <v>44</v>
      </c>
      <c r="E4" t="s">
        <v>45</v>
      </c>
      <c r="F4" t="s">
        <v>50</v>
      </c>
      <c r="G4" t="s">
        <v>51</v>
      </c>
      <c r="H4" t="s">
        <v>52</v>
      </c>
      <c r="I4" t="str">
        <f t="shared" si="0"/>
        <v>Reyna</v>
      </c>
      <c r="J4" t="str">
        <f t="shared" si="1"/>
        <v>Transfer</v>
      </c>
      <c r="K4" s="3">
        <f t="shared" si="2"/>
        <v>2</v>
      </c>
    </row>
    <row r="5" spans="1:11" x14ac:dyDescent="0.25">
      <c r="A5" t="s">
        <v>53</v>
      </c>
      <c r="B5" t="s">
        <v>54</v>
      </c>
      <c r="C5">
        <v>46024</v>
      </c>
      <c r="D5" t="s">
        <v>44</v>
      </c>
      <c r="E5" t="s">
        <v>45</v>
      </c>
      <c r="F5" t="s">
        <v>50</v>
      </c>
      <c r="G5" t="s">
        <v>55</v>
      </c>
      <c r="H5" t="s">
        <v>56</v>
      </c>
      <c r="I5" t="str">
        <f t="shared" si="0"/>
        <v>Reyna</v>
      </c>
      <c r="J5" t="str">
        <f t="shared" si="1"/>
        <v>Transfer</v>
      </c>
      <c r="K5" s="3">
        <f t="shared" si="2"/>
        <v>2</v>
      </c>
    </row>
    <row r="6" spans="1:11" x14ac:dyDescent="0.25">
      <c r="A6" t="s">
        <v>57</v>
      </c>
      <c r="B6" t="s">
        <v>58</v>
      </c>
      <c r="C6">
        <v>46021</v>
      </c>
      <c r="D6" t="s">
        <v>37</v>
      </c>
      <c r="E6" t="s">
        <v>38</v>
      </c>
      <c r="F6" t="s">
        <v>39</v>
      </c>
      <c r="G6" t="s">
        <v>59</v>
      </c>
      <c r="H6" t="s">
        <v>60</v>
      </c>
      <c r="I6" t="str">
        <f t="shared" si="0"/>
        <v>Kirk</v>
      </c>
      <c r="J6" t="str">
        <f t="shared" si="1"/>
        <v>Onboarded</v>
      </c>
      <c r="K6" s="3">
        <f t="shared" si="2"/>
        <v>3</v>
      </c>
    </row>
    <row r="7" spans="1:11" x14ac:dyDescent="0.25">
      <c r="A7" t="s">
        <v>61</v>
      </c>
      <c r="B7" t="s">
        <v>43</v>
      </c>
      <c r="C7">
        <v>46024</v>
      </c>
      <c r="D7" t="s">
        <v>44</v>
      </c>
      <c r="E7" t="s">
        <v>38</v>
      </c>
      <c r="F7" t="s">
        <v>39</v>
      </c>
      <c r="G7" t="s">
        <v>62</v>
      </c>
      <c r="H7" t="s">
        <v>63</v>
      </c>
      <c r="I7" t="str">
        <f t="shared" si="0"/>
        <v>Kirk</v>
      </c>
      <c r="J7" t="str">
        <f t="shared" si="1"/>
        <v>Onboarded</v>
      </c>
      <c r="K7" s="3">
        <f t="shared" si="2"/>
        <v>3</v>
      </c>
    </row>
    <row r="8" spans="1:11" x14ac:dyDescent="0.25">
      <c r="A8" t="s">
        <v>64</v>
      </c>
      <c r="B8" t="s">
        <v>43</v>
      </c>
      <c r="C8">
        <v>46020</v>
      </c>
      <c r="D8" t="s">
        <v>44</v>
      </c>
      <c r="E8" t="s">
        <v>65</v>
      </c>
      <c r="F8" t="s">
        <v>66</v>
      </c>
      <c r="G8" t="s">
        <v>67</v>
      </c>
      <c r="H8" t="s">
        <v>68</v>
      </c>
      <c r="I8" t="str">
        <f t="shared" si="0"/>
        <v>Justin</v>
      </c>
      <c r="J8" t="str">
        <f t="shared" si="1"/>
        <v>Onboarded</v>
      </c>
      <c r="K8" s="3">
        <f t="shared" si="2"/>
        <v>3</v>
      </c>
    </row>
    <row r="9" spans="1:11" x14ac:dyDescent="0.25">
      <c r="A9" t="s">
        <v>69</v>
      </c>
      <c r="B9" t="s">
        <v>43</v>
      </c>
      <c r="C9">
        <v>46024</v>
      </c>
      <c r="D9" t="s">
        <v>44</v>
      </c>
      <c r="E9" t="s">
        <v>38</v>
      </c>
      <c r="F9" t="s">
        <v>39</v>
      </c>
      <c r="G9" t="s">
        <v>70</v>
      </c>
      <c r="H9" t="s">
        <v>71</v>
      </c>
      <c r="I9" t="str">
        <f t="shared" si="0"/>
        <v>Kirk</v>
      </c>
      <c r="J9" t="str">
        <f t="shared" si="1"/>
        <v>Onboarded</v>
      </c>
      <c r="K9" s="3">
        <f t="shared" si="2"/>
        <v>3</v>
      </c>
    </row>
    <row r="10" spans="1:11" x14ac:dyDescent="0.25">
      <c r="A10" t="s">
        <v>72</v>
      </c>
      <c r="B10" t="s">
        <v>43</v>
      </c>
      <c r="C10">
        <v>46020</v>
      </c>
      <c r="D10" t="s">
        <v>44</v>
      </c>
      <c r="E10" t="s">
        <v>73</v>
      </c>
      <c r="F10" t="s">
        <v>46</v>
      </c>
      <c r="G10" t="s">
        <v>74</v>
      </c>
      <c r="H10" t="s">
        <v>75</v>
      </c>
      <c r="I10" t="str">
        <f t="shared" si="0"/>
        <v>Reyna</v>
      </c>
      <c r="J10" t="str">
        <f t="shared" si="1"/>
        <v>Onboarded</v>
      </c>
      <c r="K10" s="3">
        <f t="shared" si="2"/>
        <v>3</v>
      </c>
    </row>
    <row r="11" spans="1:11" x14ac:dyDescent="0.25">
      <c r="A11" t="s">
        <v>76</v>
      </c>
      <c r="B11" t="s">
        <v>43</v>
      </c>
      <c r="C11">
        <v>46024</v>
      </c>
      <c r="D11" t="s">
        <v>77</v>
      </c>
      <c r="E11" t="s">
        <v>38</v>
      </c>
      <c r="F11" t="s">
        <v>39</v>
      </c>
      <c r="G11" t="s">
        <v>78</v>
      </c>
      <c r="H11" t="s">
        <v>79</v>
      </c>
      <c r="I11" t="str">
        <f t="shared" si="0"/>
        <v>Kirk</v>
      </c>
      <c r="J11" t="str">
        <f t="shared" si="1"/>
        <v>Onboarded</v>
      </c>
      <c r="K11" s="3">
        <f t="shared" si="2"/>
        <v>3</v>
      </c>
    </row>
    <row r="12" spans="1:11" x14ac:dyDescent="0.25">
      <c r="A12" t="s">
        <v>80</v>
      </c>
      <c r="B12" t="s">
        <v>43</v>
      </c>
      <c r="C12">
        <v>46024</v>
      </c>
      <c r="D12" t="s">
        <v>44</v>
      </c>
      <c r="E12" t="s">
        <v>38</v>
      </c>
      <c r="F12" t="s">
        <v>39</v>
      </c>
      <c r="G12" t="s">
        <v>81</v>
      </c>
      <c r="H12" t="s">
        <v>82</v>
      </c>
      <c r="I12" t="str">
        <f t="shared" si="0"/>
        <v>Kirk</v>
      </c>
      <c r="J12" t="str">
        <f t="shared" si="1"/>
        <v>Onboarded</v>
      </c>
      <c r="K12" s="3">
        <f t="shared" si="2"/>
        <v>3</v>
      </c>
    </row>
    <row r="13" spans="1:11" x14ac:dyDescent="0.25">
      <c r="A13" t="s">
        <v>83</v>
      </c>
      <c r="B13" t="s">
        <v>43</v>
      </c>
      <c r="C13">
        <v>46020</v>
      </c>
      <c r="D13" t="s">
        <v>77</v>
      </c>
      <c r="E13" t="s">
        <v>38</v>
      </c>
      <c r="F13" t="s">
        <v>39</v>
      </c>
      <c r="G13" t="s">
        <v>84</v>
      </c>
      <c r="H13" t="s">
        <v>85</v>
      </c>
      <c r="I13" t="str">
        <f t="shared" si="0"/>
        <v>Kirk</v>
      </c>
      <c r="J13" t="str">
        <f t="shared" si="1"/>
        <v>Onboarded</v>
      </c>
      <c r="K13" s="3">
        <f t="shared" si="2"/>
        <v>3</v>
      </c>
    </row>
    <row r="14" spans="1:11" x14ac:dyDescent="0.25">
      <c r="A14" t="s">
        <v>86</v>
      </c>
      <c r="B14" t="s">
        <v>43</v>
      </c>
      <c r="C14">
        <v>46022</v>
      </c>
      <c r="D14" t="s">
        <v>44</v>
      </c>
      <c r="E14" t="s">
        <v>38</v>
      </c>
      <c r="F14" t="s">
        <v>66</v>
      </c>
      <c r="G14" t="s">
        <v>87</v>
      </c>
      <c r="H14" t="s">
        <v>88</v>
      </c>
      <c r="I14" t="str">
        <f t="shared" si="0"/>
        <v>Justin</v>
      </c>
      <c r="J14" t="str">
        <f t="shared" si="1"/>
        <v>Onboarded</v>
      </c>
      <c r="K14" s="3">
        <f t="shared" si="2"/>
        <v>3</v>
      </c>
    </row>
    <row r="15" spans="1:11" x14ac:dyDescent="0.25">
      <c r="A15" t="s">
        <v>89</v>
      </c>
      <c r="B15" t="s">
        <v>43</v>
      </c>
      <c r="C15">
        <v>46020</v>
      </c>
      <c r="D15" t="s">
        <v>37</v>
      </c>
      <c r="E15" t="s">
        <v>38</v>
      </c>
      <c r="F15" t="s">
        <v>66</v>
      </c>
      <c r="G15" t="s">
        <v>90</v>
      </c>
      <c r="H15" t="s">
        <v>91</v>
      </c>
      <c r="I15" t="str">
        <f t="shared" si="0"/>
        <v>Justin</v>
      </c>
      <c r="J15" t="str">
        <f t="shared" si="1"/>
        <v>Onboarded</v>
      </c>
      <c r="K15" s="3">
        <f t="shared" si="2"/>
        <v>3</v>
      </c>
    </row>
    <row r="16" spans="1:11" x14ac:dyDescent="0.25">
      <c r="A16" t="s">
        <v>92</v>
      </c>
      <c r="B16" t="s">
        <v>43</v>
      </c>
      <c r="C16">
        <v>46021</v>
      </c>
      <c r="D16" t="s">
        <v>44</v>
      </c>
      <c r="E16" t="s">
        <v>38</v>
      </c>
      <c r="F16" t="s">
        <v>66</v>
      </c>
      <c r="G16" t="s">
        <v>93</v>
      </c>
      <c r="H16" t="s">
        <v>94</v>
      </c>
      <c r="I16" t="str">
        <f t="shared" si="0"/>
        <v>Justin</v>
      </c>
      <c r="J16" t="str">
        <f t="shared" si="1"/>
        <v>Onboarded</v>
      </c>
      <c r="K16" s="3">
        <f t="shared" si="2"/>
        <v>3</v>
      </c>
    </row>
    <row r="17" spans="1:11" x14ac:dyDescent="0.25">
      <c r="A17" t="s">
        <v>95</v>
      </c>
      <c r="B17" t="s">
        <v>43</v>
      </c>
      <c r="C17">
        <v>46021</v>
      </c>
      <c r="D17" t="s">
        <v>44</v>
      </c>
      <c r="E17" t="s">
        <v>96</v>
      </c>
      <c r="F17" t="s">
        <v>46</v>
      </c>
      <c r="G17" t="s">
        <v>97</v>
      </c>
      <c r="H17" t="s">
        <v>98</v>
      </c>
      <c r="I17" t="str">
        <f t="shared" si="0"/>
        <v>Reyna</v>
      </c>
      <c r="J17" t="str">
        <f t="shared" si="1"/>
        <v>Onboarded</v>
      </c>
      <c r="K17" s="3">
        <f t="shared" si="2"/>
        <v>3</v>
      </c>
    </row>
    <row r="18" spans="1:11" x14ac:dyDescent="0.25">
      <c r="A18" t="s">
        <v>95</v>
      </c>
      <c r="B18" t="s">
        <v>43</v>
      </c>
      <c r="C18">
        <v>46021</v>
      </c>
      <c r="D18" t="s">
        <v>44</v>
      </c>
      <c r="E18" t="s">
        <v>96</v>
      </c>
      <c r="F18" t="s">
        <v>99</v>
      </c>
      <c r="G18" t="s">
        <v>97</v>
      </c>
      <c r="H18" t="s">
        <v>98</v>
      </c>
      <c r="I18" t="str">
        <f t="shared" si="0"/>
        <v>Reyna</v>
      </c>
      <c r="J18" t="str">
        <f t="shared" si="1"/>
        <v>Referral</v>
      </c>
      <c r="K18" s="3">
        <f t="shared" si="2"/>
        <v>2</v>
      </c>
    </row>
    <row r="19" spans="1:11" x14ac:dyDescent="0.25">
      <c r="A19" t="s">
        <v>100</v>
      </c>
      <c r="B19" t="s">
        <v>43</v>
      </c>
      <c r="C19">
        <v>46024</v>
      </c>
      <c r="D19" t="s">
        <v>44</v>
      </c>
      <c r="E19" t="s">
        <v>73</v>
      </c>
      <c r="F19" t="s">
        <v>46</v>
      </c>
      <c r="G19" t="s">
        <v>101</v>
      </c>
      <c r="H19" t="s">
        <v>102</v>
      </c>
      <c r="I19" t="str">
        <f t="shared" si="0"/>
        <v>Reyna</v>
      </c>
      <c r="J19" t="str">
        <f t="shared" si="1"/>
        <v>Onboarded</v>
      </c>
      <c r="K19" s="3">
        <f t="shared" si="2"/>
        <v>3</v>
      </c>
    </row>
    <row r="20" spans="1:11" x14ac:dyDescent="0.25">
      <c r="A20" t="s">
        <v>103</v>
      </c>
      <c r="B20" t="s">
        <v>43</v>
      </c>
      <c r="C20">
        <v>46024</v>
      </c>
      <c r="D20" t="s">
        <v>44</v>
      </c>
      <c r="E20" t="s">
        <v>45</v>
      </c>
      <c r="F20" t="s">
        <v>46</v>
      </c>
      <c r="G20" t="s">
        <v>104</v>
      </c>
      <c r="H20" t="s">
        <v>105</v>
      </c>
      <c r="I20" t="str">
        <f t="shared" si="0"/>
        <v>Reyna</v>
      </c>
      <c r="J20" t="str">
        <f t="shared" si="1"/>
        <v>Onboarded</v>
      </c>
      <c r="K20" s="3">
        <f t="shared" si="2"/>
        <v>3</v>
      </c>
    </row>
    <row r="21" spans="1:11" x14ac:dyDescent="0.25">
      <c r="A21" t="s">
        <v>106</v>
      </c>
      <c r="B21" t="s">
        <v>43</v>
      </c>
      <c r="C21">
        <v>46024</v>
      </c>
      <c r="D21" t="s">
        <v>37</v>
      </c>
      <c r="E21" t="s">
        <v>38</v>
      </c>
      <c r="F21" t="s">
        <v>39</v>
      </c>
      <c r="G21" t="s">
        <v>107</v>
      </c>
      <c r="H21" t="s">
        <v>108</v>
      </c>
      <c r="I21" t="str">
        <f t="shared" si="0"/>
        <v>Kirk</v>
      </c>
      <c r="J21" t="str">
        <f t="shared" si="1"/>
        <v>Onboarded</v>
      </c>
      <c r="K21" s="3">
        <f t="shared" si="2"/>
        <v>3</v>
      </c>
    </row>
    <row r="22" spans="1:11" x14ac:dyDescent="0.25">
      <c r="A22" t="s">
        <v>109</v>
      </c>
      <c r="B22" t="s">
        <v>43</v>
      </c>
      <c r="C22">
        <v>46024</v>
      </c>
      <c r="D22" t="s">
        <v>44</v>
      </c>
      <c r="E22" t="s">
        <v>38</v>
      </c>
      <c r="F22" t="s">
        <v>66</v>
      </c>
      <c r="G22" t="s">
        <v>110</v>
      </c>
      <c r="H22" t="s">
        <v>111</v>
      </c>
      <c r="I22" t="str">
        <f t="shared" si="0"/>
        <v>Justin</v>
      </c>
      <c r="J22" t="str">
        <f t="shared" si="1"/>
        <v>Onboarded</v>
      </c>
      <c r="K22" s="3">
        <f t="shared" si="2"/>
        <v>3</v>
      </c>
    </row>
    <row r="23" spans="1:11" x14ac:dyDescent="0.25">
      <c r="A23" t="s">
        <v>112</v>
      </c>
      <c r="B23" t="s">
        <v>43</v>
      </c>
      <c r="C23">
        <v>46020</v>
      </c>
      <c r="D23" t="s">
        <v>44</v>
      </c>
      <c r="E23" t="s">
        <v>38</v>
      </c>
      <c r="F23" t="s">
        <v>39</v>
      </c>
      <c r="G23" t="s">
        <v>113</v>
      </c>
      <c r="H23" t="s">
        <v>114</v>
      </c>
      <c r="I23" t="str">
        <f t="shared" si="0"/>
        <v>Kirk</v>
      </c>
      <c r="J23" t="str">
        <f t="shared" si="1"/>
        <v>Onboarded</v>
      </c>
      <c r="K23" s="3">
        <f t="shared" si="2"/>
        <v>3</v>
      </c>
    </row>
    <row r="24" spans="1:11" x14ac:dyDescent="0.25">
      <c r="A24" t="s">
        <v>115</v>
      </c>
      <c r="B24" t="s">
        <v>43</v>
      </c>
      <c r="C24">
        <v>46024</v>
      </c>
      <c r="D24" t="s">
        <v>77</v>
      </c>
      <c r="E24" t="s">
        <v>38</v>
      </c>
      <c r="F24" t="s">
        <v>66</v>
      </c>
      <c r="G24" t="s">
        <v>116</v>
      </c>
      <c r="H24" t="s">
        <v>117</v>
      </c>
      <c r="I24" t="str">
        <f t="shared" si="0"/>
        <v>Justin</v>
      </c>
      <c r="J24" t="str">
        <f t="shared" si="1"/>
        <v>Onboarded</v>
      </c>
      <c r="K24" s="3">
        <f t="shared" si="2"/>
        <v>3</v>
      </c>
    </row>
    <row r="25" spans="1:11" x14ac:dyDescent="0.25">
      <c r="A25" t="s">
        <v>118</v>
      </c>
      <c r="B25" t="s">
        <v>43</v>
      </c>
      <c r="C25">
        <v>46020</v>
      </c>
      <c r="D25" t="s">
        <v>44</v>
      </c>
      <c r="E25" t="s">
        <v>38</v>
      </c>
      <c r="F25" t="s">
        <v>46</v>
      </c>
      <c r="G25" t="s">
        <v>119</v>
      </c>
      <c r="H25" t="s">
        <v>120</v>
      </c>
      <c r="I25" t="str">
        <f t="shared" si="0"/>
        <v>Reyna</v>
      </c>
      <c r="J25" t="str">
        <f t="shared" si="1"/>
        <v>Onboarded</v>
      </c>
      <c r="K25" s="3">
        <f t="shared" si="2"/>
        <v>3</v>
      </c>
    </row>
    <row r="26" spans="1:11" x14ac:dyDescent="0.25">
      <c r="A26" t="s">
        <v>121</v>
      </c>
      <c r="B26" t="s">
        <v>54</v>
      </c>
      <c r="C26">
        <v>46021</v>
      </c>
      <c r="D26" t="s">
        <v>77</v>
      </c>
      <c r="E26" t="s">
        <v>38</v>
      </c>
      <c r="F26" t="s">
        <v>122</v>
      </c>
      <c r="G26" t="s">
        <v>123</v>
      </c>
      <c r="H26" t="s">
        <v>124</v>
      </c>
      <c r="I26" t="str">
        <f t="shared" si="0"/>
        <v>Justin</v>
      </c>
      <c r="J26" t="str">
        <f t="shared" si="1"/>
        <v>Referral</v>
      </c>
      <c r="K26" s="3">
        <f t="shared" si="2"/>
        <v>2</v>
      </c>
    </row>
    <row r="27" spans="1:11" x14ac:dyDescent="0.25">
      <c r="A27" t="s">
        <v>121</v>
      </c>
      <c r="B27" t="s">
        <v>54</v>
      </c>
      <c r="C27">
        <v>46021</v>
      </c>
      <c r="D27" t="s">
        <v>77</v>
      </c>
      <c r="E27" t="s">
        <v>38</v>
      </c>
      <c r="F27" t="s">
        <v>66</v>
      </c>
      <c r="G27" t="s">
        <v>123</v>
      </c>
      <c r="H27" t="s">
        <v>124</v>
      </c>
      <c r="I27" t="str">
        <f t="shared" si="0"/>
        <v>Justin</v>
      </c>
      <c r="J27" t="str">
        <f t="shared" si="1"/>
        <v>Onboarded</v>
      </c>
      <c r="K27" s="3">
        <f t="shared" si="2"/>
        <v>3</v>
      </c>
    </row>
    <row r="28" spans="1:11" x14ac:dyDescent="0.25">
      <c r="A28" t="s">
        <v>125</v>
      </c>
      <c r="B28" t="s">
        <v>43</v>
      </c>
      <c r="C28">
        <v>46022</v>
      </c>
      <c r="D28" t="s">
        <v>37</v>
      </c>
      <c r="E28" t="s">
        <v>38</v>
      </c>
      <c r="F28" t="s">
        <v>39</v>
      </c>
      <c r="G28" t="s">
        <v>126</v>
      </c>
      <c r="H28" t="s">
        <v>127</v>
      </c>
      <c r="I28" t="str">
        <f t="shared" si="0"/>
        <v>Kirk</v>
      </c>
      <c r="J28" t="str">
        <f t="shared" si="1"/>
        <v>Onboarded</v>
      </c>
      <c r="K28" s="3">
        <f t="shared" si="2"/>
        <v>3</v>
      </c>
    </row>
    <row r="29" spans="1:11" x14ac:dyDescent="0.25">
      <c r="A29" t="s">
        <v>128</v>
      </c>
      <c r="B29" t="s">
        <v>36</v>
      </c>
      <c r="C29">
        <v>46021</v>
      </c>
      <c r="D29" t="s">
        <v>44</v>
      </c>
      <c r="E29" t="s">
        <v>45</v>
      </c>
      <c r="F29" t="s">
        <v>129</v>
      </c>
      <c r="G29" t="s">
        <v>130</v>
      </c>
      <c r="H29" t="s">
        <v>131</v>
      </c>
      <c r="I29" t="str">
        <f t="shared" si="0"/>
        <v>Kirk</v>
      </c>
      <c r="J29" t="str">
        <f t="shared" si="1"/>
        <v>Transfer</v>
      </c>
      <c r="K29" s="3">
        <f t="shared" si="2"/>
        <v>2</v>
      </c>
    </row>
    <row r="30" spans="1:11" x14ac:dyDescent="0.25">
      <c r="A30" t="s">
        <v>132</v>
      </c>
      <c r="B30" t="s">
        <v>36</v>
      </c>
      <c r="C30">
        <v>46021</v>
      </c>
      <c r="D30" t="s">
        <v>44</v>
      </c>
      <c r="E30" t="s">
        <v>45</v>
      </c>
      <c r="F30" t="s">
        <v>129</v>
      </c>
      <c r="G30" t="s">
        <v>133</v>
      </c>
      <c r="H30" t="s">
        <v>134</v>
      </c>
      <c r="I30" t="str">
        <f t="shared" si="0"/>
        <v>Kirk</v>
      </c>
      <c r="J30" t="str">
        <f t="shared" si="1"/>
        <v>Transfer</v>
      </c>
      <c r="K30" s="3">
        <f t="shared" si="2"/>
        <v>2</v>
      </c>
    </row>
    <row r="31" spans="1:11" x14ac:dyDescent="0.25">
      <c r="A31" t="s">
        <v>135</v>
      </c>
      <c r="B31" t="s">
        <v>36</v>
      </c>
      <c r="C31">
        <v>46022</v>
      </c>
      <c r="D31" t="s">
        <v>44</v>
      </c>
      <c r="F31" t="s">
        <v>129</v>
      </c>
      <c r="G31" t="s">
        <v>136</v>
      </c>
      <c r="H31" t="s">
        <v>137</v>
      </c>
      <c r="I31" t="str">
        <f t="shared" si="0"/>
        <v>Kirk</v>
      </c>
      <c r="J31" t="str">
        <f t="shared" si="1"/>
        <v>Transfer</v>
      </c>
      <c r="K31" s="3">
        <f t="shared" si="2"/>
        <v>2</v>
      </c>
    </row>
    <row r="32" spans="1:11" x14ac:dyDescent="0.25">
      <c r="A32" t="s">
        <v>138</v>
      </c>
      <c r="B32" t="s">
        <v>58</v>
      </c>
      <c r="C32">
        <v>46020</v>
      </c>
      <c r="D32" t="s">
        <v>77</v>
      </c>
      <c r="E32" t="s">
        <v>38</v>
      </c>
      <c r="F32" t="s">
        <v>39</v>
      </c>
      <c r="G32" t="s">
        <v>139</v>
      </c>
      <c r="H32" t="s">
        <v>140</v>
      </c>
      <c r="I32" t="str">
        <f t="shared" si="0"/>
        <v>Kirk</v>
      </c>
      <c r="J32" t="str">
        <f t="shared" si="1"/>
        <v>Onboarded</v>
      </c>
      <c r="K32" s="3">
        <f t="shared" si="2"/>
        <v>3</v>
      </c>
    </row>
    <row r="33" spans="9:11" x14ac:dyDescent="0.25">
      <c r="I33" t="str">
        <f t="shared" si="0"/>
        <v>Unknown</v>
      </c>
      <c r="J33" t="str">
        <f t="shared" si="1"/>
        <v>Other</v>
      </c>
      <c r="K33" s="3">
        <f t="shared" si="2"/>
        <v>0</v>
      </c>
    </row>
    <row r="34" spans="9:11" x14ac:dyDescent="0.25">
      <c r="I34" t="str">
        <f t="shared" si="0"/>
        <v>Unknown</v>
      </c>
      <c r="J34" t="str">
        <f t="shared" si="1"/>
        <v>Other</v>
      </c>
      <c r="K34" s="3">
        <f t="shared" si="2"/>
        <v>0</v>
      </c>
    </row>
    <row r="35" spans="9:11" x14ac:dyDescent="0.25">
      <c r="I35" t="str">
        <f t="shared" si="0"/>
        <v>Unknown</v>
      </c>
      <c r="J35" t="str">
        <f t="shared" si="1"/>
        <v>Other</v>
      </c>
      <c r="K35" s="3">
        <f t="shared" si="2"/>
        <v>0</v>
      </c>
    </row>
    <row r="36" spans="9:11" x14ac:dyDescent="0.25">
      <c r="I36" t="str">
        <f t="shared" si="0"/>
        <v>Unknown</v>
      </c>
      <c r="J36" t="str">
        <f t="shared" si="1"/>
        <v>Other</v>
      </c>
      <c r="K36" s="3">
        <f t="shared" si="2"/>
        <v>0</v>
      </c>
    </row>
    <row r="37" spans="9:11" x14ac:dyDescent="0.25">
      <c r="I37" t="str">
        <f t="shared" si="0"/>
        <v>Unknown</v>
      </c>
      <c r="J37" t="str">
        <f t="shared" si="1"/>
        <v>Other</v>
      </c>
      <c r="K37" s="3">
        <f t="shared" si="2"/>
        <v>0</v>
      </c>
    </row>
    <row r="38" spans="9:11" x14ac:dyDescent="0.25">
      <c r="I38" t="str">
        <f t="shared" si="0"/>
        <v>Unknown</v>
      </c>
      <c r="J38" t="str">
        <f t="shared" si="1"/>
        <v>Other</v>
      </c>
      <c r="K38" s="3">
        <f t="shared" si="2"/>
        <v>0</v>
      </c>
    </row>
    <row r="39" spans="9:11" x14ac:dyDescent="0.25">
      <c r="I39" t="str">
        <f t="shared" si="0"/>
        <v>Unknown</v>
      </c>
      <c r="J39" t="str">
        <f t="shared" si="1"/>
        <v>Other</v>
      </c>
      <c r="K39" s="3">
        <f t="shared" si="2"/>
        <v>0</v>
      </c>
    </row>
    <row r="40" spans="9:11" x14ac:dyDescent="0.25">
      <c r="I40" t="str">
        <f t="shared" si="0"/>
        <v>Unknown</v>
      </c>
      <c r="J40" t="str">
        <f t="shared" si="1"/>
        <v>Other</v>
      </c>
      <c r="K40" s="3">
        <f t="shared" si="2"/>
        <v>0</v>
      </c>
    </row>
    <row r="41" spans="9:11" x14ac:dyDescent="0.25">
      <c r="I41" t="str">
        <f t="shared" si="0"/>
        <v>Unknown</v>
      </c>
      <c r="J41" t="str">
        <f t="shared" si="1"/>
        <v>Other</v>
      </c>
      <c r="K41" s="3">
        <f t="shared" si="2"/>
        <v>0</v>
      </c>
    </row>
    <row r="42" spans="9:11" x14ac:dyDescent="0.25">
      <c r="I42" t="str">
        <f t="shared" si="0"/>
        <v>Unknown</v>
      </c>
      <c r="J42" t="str">
        <f t="shared" si="1"/>
        <v>Other</v>
      </c>
      <c r="K42" s="3">
        <f t="shared" si="2"/>
        <v>0</v>
      </c>
    </row>
    <row r="43" spans="9:11" x14ac:dyDescent="0.25">
      <c r="I43" t="str">
        <f t="shared" si="0"/>
        <v>Unknown</v>
      </c>
      <c r="J43" t="str">
        <f t="shared" si="1"/>
        <v>Other</v>
      </c>
      <c r="K43" s="3">
        <f t="shared" si="2"/>
        <v>0</v>
      </c>
    </row>
    <row r="44" spans="9:11" x14ac:dyDescent="0.25">
      <c r="I44" t="str">
        <f t="shared" si="0"/>
        <v>Unknown</v>
      </c>
      <c r="J44" t="str">
        <f t="shared" si="1"/>
        <v>Other</v>
      </c>
      <c r="K44" s="3">
        <f t="shared" si="2"/>
        <v>0</v>
      </c>
    </row>
    <row r="45" spans="9:11" x14ac:dyDescent="0.25">
      <c r="I45" t="str">
        <f t="shared" si="0"/>
        <v>Unknown</v>
      </c>
      <c r="J45" t="str">
        <f t="shared" si="1"/>
        <v>Other</v>
      </c>
      <c r="K45" s="3">
        <f t="shared" si="2"/>
        <v>0</v>
      </c>
    </row>
    <row r="46" spans="9:11" x14ac:dyDescent="0.25">
      <c r="I46" t="str">
        <f t="shared" si="0"/>
        <v>Unknown</v>
      </c>
      <c r="J46" t="str">
        <f t="shared" si="1"/>
        <v>Other</v>
      </c>
      <c r="K46" s="3">
        <f t="shared" si="2"/>
        <v>0</v>
      </c>
    </row>
    <row r="47" spans="9:11" x14ac:dyDescent="0.25">
      <c r="I47" t="str">
        <f t="shared" si="0"/>
        <v>Unknown</v>
      </c>
      <c r="J47" t="str">
        <f t="shared" si="1"/>
        <v>Other</v>
      </c>
      <c r="K47" s="3">
        <f t="shared" si="2"/>
        <v>0</v>
      </c>
    </row>
    <row r="48" spans="9:11" x14ac:dyDescent="0.25">
      <c r="I48" t="str">
        <f t="shared" si="0"/>
        <v>Unknown</v>
      </c>
      <c r="J48" t="str">
        <f t="shared" si="1"/>
        <v>Other</v>
      </c>
      <c r="K48" s="3">
        <f t="shared" si="2"/>
        <v>0</v>
      </c>
    </row>
    <row r="49" spans="9:11" x14ac:dyDescent="0.25">
      <c r="I49" t="str">
        <f t="shared" si="0"/>
        <v>Unknown</v>
      </c>
      <c r="J49" t="str">
        <f t="shared" si="1"/>
        <v>Other</v>
      </c>
      <c r="K49" s="3">
        <f t="shared" si="2"/>
        <v>0</v>
      </c>
    </row>
    <row r="50" spans="9:11" x14ac:dyDescent="0.25">
      <c r="I50" t="str">
        <f t="shared" si="0"/>
        <v>Unknown</v>
      </c>
      <c r="J50" t="str">
        <f t="shared" si="1"/>
        <v>Other</v>
      </c>
      <c r="K50" s="3">
        <f t="shared" si="2"/>
        <v>0</v>
      </c>
    </row>
    <row r="51" spans="9:11" x14ac:dyDescent="0.25">
      <c r="I51" t="str">
        <f t="shared" si="0"/>
        <v>Unknown</v>
      </c>
      <c r="J51" t="str">
        <f t="shared" si="1"/>
        <v>Other</v>
      </c>
      <c r="K51" s="3">
        <f t="shared" si="2"/>
        <v>0</v>
      </c>
    </row>
    <row r="52" spans="9:11" x14ac:dyDescent="0.25">
      <c r="I52" t="str">
        <f t="shared" si="0"/>
        <v>Unknown</v>
      </c>
      <c r="J52" t="str">
        <f t="shared" si="1"/>
        <v>Other</v>
      </c>
      <c r="K52" s="3">
        <f t="shared" si="2"/>
        <v>0</v>
      </c>
    </row>
    <row r="53" spans="9:11" x14ac:dyDescent="0.25">
      <c r="I53" t="str">
        <f t="shared" si="0"/>
        <v>Unknown</v>
      </c>
      <c r="J53" t="str">
        <f t="shared" si="1"/>
        <v>Other</v>
      </c>
      <c r="K53" s="3">
        <f t="shared" si="2"/>
        <v>0</v>
      </c>
    </row>
    <row r="54" spans="9:11" x14ac:dyDescent="0.25">
      <c r="I54" t="str">
        <f t="shared" si="0"/>
        <v>Unknown</v>
      </c>
      <c r="J54" t="str">
        <f t="shared" si="1"/>
        <v>Other</v>
      </c>
      <c r="K54" s="3">
        <f t="shared" si="2"/>
        <v>0</v>
      </c>
    </row>
    <row r="55" spans="9:11" x14ac:dyDescent="0.25">
      <c r="I55" t="str">
        <f t="shared" si="0"/>
        <v>Unknown</v>
      </c>
      <c r="J55" t="str">
        <f t="shared" si="1"/>
        <v>Other</v>
      </c>
      <c r="K55" s="3">
        <f t="shared" si="2"/>
        <v>0</v>
      </c>
    </row>
    <row r="56" spans="9:11" x14ac:dyDescent="0.25">
      <c r="I56" t="str">
        <f t="shared" si="0"/>
        <v>Unknown</v>
      </c>
      <c r="J56" t="str">
        <f t="shared" si="1"/>
        <v>Other</v>
      </c>
      <c r="K56" s="3">
        <f t="shared" si="2"/>
        <v>0</v>
      </c>
    </row>
    <row r="57" spans="9:11" x14ac:dyDescent="0.25">
      <c r="I57" t="str">
        <f t="shared" si="0"/>
        <v>Unknown</v>
      </c>
      <c r="J57" t="str">
        <f t="shared" si="1"/>
        <v>Other</v>
      </c>
      <c r="K57" s="3">
        <f t="shared" si="2"/>
        <v>0</v>
      </c>
    </row>
    <row r="58" spans="9:11" x14ac:dyDescent="0.25">
      <c r="I58" t="str">
        <f t="shared" si="0"/>
        <v>Unknown</v>
      </c>
      <c r="J58" t="str">
        <f t="shared" si="1"/>
        <v>Other</v>
      </c>
      <c r="K58" s="3">
        <f t="shared" si="2"/>
        <v>0</v>
      </c>
    </row>
    <row r="59" spans="9:11" x14ac:dyDescent="0.25">
      <c r="I59" t="str">
        <f t="shared" si="0"/>
        <v>Unknown</v>
      </c>
      <c r="J59" t="str">
        <f t="shared" si="1"/>
        <v>Other</v>
      </c>
      <c r="K59" s="3">
        <f t="shared" si="2"/>
        <v>0</v>
      </c>
    </row>
    <row r="60" spans="9:11" x14ac:dyDescent="0.25">
      <c r="I60" t="str">
        <f t="shared" si="0"/>
        <v>Unknown</v>
      </c>
      <c r="J60" t="str">
        <f t="shared" si="1"/>
        <v>Other</v>
      </c>
      <c r="K60" s="3">
        <f t="shared" si="2"/>
        <v>0</v>
      </c>
    </row>
    <row r="61" spans="9:11" x14ac:dyDescent="0.25">
      <c r="I61" t="str">
        <f t="shared" si="0"/>
        <v>Unknown</v>
      </c>
      <c r="J61" t="str">
        <f t="shared" si="1"/>
        <v>Other</v>
      </c>
      <c r="K61" s="3">
        <f t="shared" si="2"/>
        <v>0</v>
      </c>
    </row>
    <row r="62" spans="9:11" x14ac:dyDescent="0.25">
      <c r="I62" t="str">
        <f t="shared" si="0"/>
        <v>Unknown</v>
      </c>
      <c r="J62" t="str">
        <f t="shared" si="1"/>
        <v>Other</v>
      </c>
      <c r="K62" s="3">
        <f t="shared" si="2"/>
        <v>0</v>
      </c>
    </row>
    <row r="63" spans="9:11" x14ac:dyDescent="0.25">
      <c r="I63" t="str">
        <f t="shared" si="0"/>
        <v>Unknown</v>
      </c>
      <c r="J63" t="str">
        <f t="shared" si="1"/>
        <v>Other</v>
      </c>
      <c r="K63" s="3">
        <f t="shared" si="2"/>
        <v>0</v>
      </c>
    </row>
    <row r="64" spans="9:11" x14ac:dyDescent="0.25">
      <c r="I64" t="str">
        <f t="shared" si="0"/>
        <v>Unknown</v>
      </c>
      <c r="J64" t="str">
        <f t="shared" si="1"/>
        <v>Other</v>
      </c>
      <c r="K64" s="3">
        <f t="shared" si="2"/>
        <v>0</v>
      </c>
    </row>
    <row r="65" spans="9:11" x14ac:dyDescent="0.25">
      <c r="I65" t="str">
        <f t="shared" si="0"/>
        <v>Unknown</v>
      </c>
      <c r="J65" t="str">
        <f t="shared" si="1"/>
        <v>Other</v>
      </c>
      <c r="K65" s="3">
        <f t="shared" si="2"/>
        <v>0</v>
      </c>
    </row>
    <row r="66" spans="9:11" x14ac:dyDescent="0.25">
      <c r="I66" t="str">
        <f t="shared" ref="I66:I129" si="3">IF(ISNUMBER(SEARCH("kirk",F66)),"Kirk",IF(ISNUMBER(SEARCH("justin",F66)),"Justin",IF(ISNUMBER(SEARCH("reyna",F66)),"Reyna","Unknown")))</f>
        <v>Unknown</v>
      </c>
      <c r="J66" t="str">
        <f t="shared" ref="J66:J129" si="4">IF(ISNUMBER(SEARCH("onboard",F66)),"Onboarded",IF(ISNUMBER(SEARCH("referr",F66)),"Referral",IF(ISNUMBER(SEARCH("transfer",F66)),"Transfer","Other")))</f>
        <v>Other</v>
      </c>
      <c r="K66" s="3">
        <f t="shared" ref="K66:K129" si="5">IF(AND(I66="Kirk",J66="Onboarded"),3,IF(AND(I66="Kirk",J66="Referral"),2,IF(AND(I66="Kirk",J66="Transfer"),2,IF(AND(I66="Justin",J66="Onboarded"),3,IF(AND(I66="Justin",J66="Referral"),2,IF(AND(I66="Justin",J66="Transfer"),2,IF(AND(I66="Reyna",J66="Onboarded"),3,IF(AND(I66="Reyna",J66="Referral"),2,IF(AND(I66="Reyna",J66="Transfer"),2,0)))))))))</f>
        <v>0</v>
      </c>
    </row>
    <row r="67" spans="9:11" x14ac:dyDescent="0.25">
      <c r="I67" t="str">
        <f t="shared" si="3"/>
        <v>Unknown</v>
      </c>
      <c r="J67" t="str">
        <f t="shared" si="4"/>
        <v>Other</v>
      </c>
      <c r="K67" s="3">
        <f t="shared" si="5"/>
        <v>0</v>
      </c>
    </row>
    <row r="68" spans="9:11" x14ac:dyDescent="0.25">
      <c r="I68" t="str">
        <f t="shared" si="3"/>
        <v>Unknown</v>
      </c>
      <c r="J68" t="str">
        <f t="shared" si="4"/>
        <v>Other</v>
      </c>
      <c r="K68" s="3">
        <f t="shared" si="5"/>
        <v>0</v>
      </c>
    </row>
    <row r="69" spans="9:11" x14ac:dyDescent="0.25">
      <c r="I69" t="str">
        <f t="shared" si="3"/>
        <v>Unknown</v>
      </c>
      <c r="J69" t="str">
        <f t="shared" si="4"/>
        <v>Other</v>
      </c>
      <c r="K69" s="3">
        <f t="shared" si="5"/>
        <v>0</v>
      </c>
    </row>
    <row r="70" spans="9:11" x14ac:dyDescent="0.25">
      <c r="I70" t="str">
        <f t="shared" si="3"/>
        <v>Unknown</v>
      </c>
      <c r="J70" t="str">
        <f t="shared" si="4"/>
        <v>Other</v>
      </c>
      <c r="K70" s="3">
        <f t="shared" si="5"/>
        <v>0</v>
      </c>
    </row>
    <row r="71" spans="9:11" x14ac:dyDescent="0.25">
      <c r="I71" t="str">
        <f t="shared" si="3"/>
        <v>Unknown</v>
      </c>
      <c r="J71" t="str">
        <f t="shared" si="4"/>
        <v>Other</v>
      </c>
      <c r="K71" s="3">
        <f t="shared" si="5"/>
        <v>0</v>
      </c>
    </row>
    <row r="72" spans="9:11" x14ac:dyDescent="0.25">
      <c r="I72" t="str">
        <f t="shared" si="3"/>
        <v>Unknown</v>
      </c>
      <c r="J72" t="str">
        <f t="shared" si="4"/>
        <v>Other</v>
      </c>
      <c r="K72" s="3">
        <f t="shared" si="5"/>
        <v>0</v>
      </c>
    </row>
    <row r="73" spans="9:11" x14ac:dyDescent="0.25">
      <c r="I73" t="str">
        <f t="shared" si="3"/>
        <v>Unknown</v>
      </c>
      <c r="J73" t="str">
        <f t="shared" si="4"/>
        <v>Other</v>
      </c>
      <c r="K73" s="3">
        <f t="shared" si="5"/>
        <v>0</v>
      </c>
    </row>
    <row r="74" spans="9:11" x14ac:dyDescent="0.25">
      <c r="I74" t="str">
        <f t="shared" si="3"/>
        <v>Unknown</v>
      </c>
      <c r="J74" t="str">
        <f t="shared" si="4"/>
        <v>Other</v>
      </c>
      <c r="K74" s="3">
        <f t="shared" si="5"/>
        <v>0</v>
      </c>
    </row>
    <row r="75" spans="9:11" x14ac:dyDescent="0.25">
      <c r="I75" t="str">
        <f t="shared" si="3"/>
        <v>Unknown</v>
      </c>
      <c r="J75" t="str">
        <f t="shared" si="4"/>
        <v>Other</v>
      </c>
      <c r="K75" s="3">
        <f t="shared" si="5"/>
        <v>0</v>
      </c>
    </row>
    <row r="76" spans="9:11" x14ac:dyDescent="0.25">
      <c r="I76" t="str">
        <f t="shared" si="3"/>
        <v>Unknown</v>
      </c>
      <c r="J76" t="str">
        <f t="shared" si="4"/>
        <v>Other</v>
      </c>
      <c r="K76" s="3">
        <f t="shared" si="5"/>
        <v>0</v>
      </c>
    </row>
    <row r="77" spans="9:11" x14ac:dyDescent="0.25">
      <c r="I77" t="str">
        <f t="shared" si="3"/>
        <v>Unknown</v>
      </c>
      <c r="J77" t="str">
        <f t="shared" si="4"/>
        <v>Other</v>
      </c>
      <c r="K77" s="3">
        <f t="shared" si="5"/>
        <v>0</v>
      </c>
    </row>
    <row r="78" spans="9:11" x14ac:dyDescent="0.25">
      <c r="I78" t="str">
        <f t="shared" si="3"/>
        <v>Unknown</v>
      </c>
      <c r="J78" t="str">
        <f t="shared" si="4"/>
        <v>Other</v>
      </c>
      <c r="K78" s="3">
        <f t="shared" si="5"/>
        <v>0</v>
      </c>
    </row>
    <row r="79" spans="9:11" x14ac:dyDescent="0.25">
      <c r="I79" t="str">
        <f t="shared" si="3"/>
        <v>Unknown</v>
      </c>
      <c r="J79" t="str">
        <f t="shared" si="4"/>
        <v>Other</v>
      </c>
      <c r="K79" s="3">
        <f t="shared" si="5"/>
        <v>0</v>
      </c>
    </row>
    <row r="80" spans="9:11" x14ac:dyDescent="0.25">
      <c r="I80" t="str">
        <f t="shared" si="3"/>
        <v>Unknown</v>
      </c>
      <c r="J80" t="str">
        <f t="shared" si="4"/>
        <v>Other</v>
      </c>
      <c r="K80" s="3">
        <f t="shared" si="5"/>
        <v>0</v>
      </c>
    </row>
    <row r="81" spans="9:11" x14ac:dyDescent="0.25">
      <c r="I81" t="str">
        <f t="shared" si="3"/>
        <v>Unknown</v>
      </c>
      <c r="J81" t="str">
        <f t="shared" si="4"/>
        <v>Other</v>
      </c>
      <c r="K81" s="3">
        <f t="shared" si="5"/>
        <v>0</v>
      </c>
    </row>
    <row r="82" spans="9:11" x14ac:dyDescent="0.25">
      <c r="I82" t="str">
        <f t="shared" si="3"/>
        <v>Unknown</v>
      </c>
      <c r="J82" t="str">
        <f t="shared" si="4"/>
        <v>Other</v>
      </c>
      <c r="K82" s="3">
        <f t="shared" si="5"/>
        <v>0</v>
      </c>
    </row>
    <row r="83" spans="9:11" x14ac:dyDescent="0.25">
      <c r="I83" t="str">
        <f t="shared" si="3"/>
        <v>Unknown</v>
      </c>
      <c r="J83" t="str">
        <f t="shared" si="4"/>
        <v>Other</v>
      </c>
      <c r="K83" s="3">
        <f t="shared" si="5"/>
        <v>0</v>
      </c>
    </row>
    <row r="84" spans="9:11" x14ac:dyDescent="0.25">
      <c r="I84" t="str">
        <f t="shared" si="3"/>
        <v>Unknown</v>
      </c>
      <c r="J84" t="str">
        <f t="shared" si="4"/>
        <v>Other</v>
      </c>
      <c r="K84" s="3">
        <f t="shared" si="5"/>
        <v>0</v>
      </c>
    </row>
    <row r="85" spans="9:11" x14ac:dyDescent="0.25">
      <c r="I85" t="str">
        <f t="shared" si="3"/>
        <v>Unknown</v>
      </c>
      <c r="J85" t="str">
        <f t="shared" si="4"/>
        <v>Other</v>
      </c>
      <c r="K85" s="3">
        <f t="shared" si="5"/>
        <v>0</v>
      </c>
    </row>
    <row r="86" spans="9:11" x14ac:dyDescent="0.25">
      <c r="I86" t="str">
        <f t="shared" si="3"/>
        <v>Unknown</v>
      </c>
      <c r="J86" t="str">
        <f t="shared" si="4"/>
        <v>Other</v>
      </c>
      <c r="K86" s="3">
        <f t="shared" si="5"/>
        <v>0</v>
      </c>
    </row>
    <row r="87" spans="9:11" x14ac:dyDescent="0.25">
      <c r="I87" t="str">
        <f t="shared" si="3"/>
        <v>Unknown</v>
      </c>
      <c r="J87" t="str">
        <f t="shared" si="4"/>
        <v>Other</v>
      </c>
      <c r="K87" s="3">
        <f t="shared" si="5"/>
        <v>0</v>
      </c>
    </row>
    <row r="88" spans="9:11" x14ac:dyDescent="0.25">
      <c r="I88" t="str">
        <f t="shared" si="3"/>
        <v>Unknown</v>
      </c>
      <c r="J88" t="str">
        <f t="shared" si="4"/>
        <v>Other</v>
      </c>
      <c r="K88" s="3">
        <f t="shared" si="5"/>
        <v>0</v>
      </c>
    </row>
    <row r="89" spans="9:11" x14ac:dyDescent="0.25">
      <c r="I89" t="str">
        <f t="shared" si="3"/>
        <v>Unknown</v>
      </c>
      <c r="J89" t="str">
        <f t="shared" si="4"/>
        <v>Other</v>
      </c>
      <c r="K89" s="3">
        <f t="shared" si="5"/>
        <v>0</v>
      </c>
    </row>
    <row r="90" spans="9:11" x14ac:dyDescent="0.25">
      <c r="I90" t="str">
        <f t="shared" si="3"/>
        <v>Unknown</v>
      </c>
      <c r="J90" t="str">
        <f t="shared" si="4"/>
        <v>Other</v>
      </c>
      <c r="K90" s="3">
        <f t="shared" si="5"/>
        <v>0</v>
      </c>
    </row>
    <row r="91" spans="9:11" x14ac:dyDescent="0.25">
      <c r="I91" t="str">
        <f t="shared" si="3"/>
        <v>Unknown</v>
      </c>
      <c r="J91" t="str">
        <f t="shared" si="4"/>
        <v>Other</v>
      </c>
      <c r="K91" s="3">
        <f t="shared" si="5"/>
        <v>0</v>
      </c>
    </row>
    <row r="92" spans="9:11" x14ac:dyDescent="0.25">
      <c r="I92" t="str">
        <f t="shared" si="3"/>
        <v>Unknown</v>
      </c>
      <c r="J92" t="str">
        <f t="shared" si="4"/>
        <v>Other</v>
      </c>
      <c r="K92" s="3">
        <f t="shared" si="5"/>
        <v>0</v>
      </c>
    </row>
    <row r="93" spans="9:11" x14ac:dyDescent="0.25">
      <c r="I93" t="str">
        <f t="shared" si="3"/>
        <v>Unknown</v>
      </c>
      <c r="J93" t="str">
        <f t="shared" si="4"/>
        <v>Other</v>
      </c>
      <c r="K93" s="3">
        <f t="shared" si="5"/>
        <v>0</v>
      </c>
    </row>
    <row r="94" spans="9:11" x14ac:dyDescent="0.25">
      <c r="I94" t="str">
        <f t="shared" si="3"/>
        <v>Unknown</v>
      </c>
      <c r="J94" t="str">
        <f t="shared" si="4"/>
        <v>Other</v>
      </c>
      <c r="K94" s="3">
        <f t="shared" si="5"/>
        <v>0</v>
      </c>
    </row>
    <row r="95" spans="9:11" x14ac:dyDescent="0.25">
      <c r="I95" t="str">
        <f t="shared" si="3"/>
        <v>Unknown</v>
      </c>
      <c r="J95" t="str">
        <f t="shared" si="4"/>
        <v>Other</v>
      </c>
      <c r="K95" s="3">
        <f t="shared" si="5"/>
        <v>0</v>
      </c>
    </row>
    <row r="96" spans="9:11" x14ac:dyDescent="0.25">
      <c r="I96" t="str">
        <f t="shared" si="3"/>
        <v>Unknown</v>
      </c>
      <c r="J96" t="str">
        <f t="shared" si="4"/>
        <v>Other</v>
      </c>
      <c r="K96" s="3">
        <f t="shared" si="5"/>
        <v>0</v>
      </c>
    </row>
    <row r="97" spans="9:11" x14ac:dyDescent="0.25">
      <c r="I97" t="str">
        <f t="shared" si="3"/>
        <v>Unknown</v>
      </c>
      <c r="J97" t="str">
        <f t="shared" si="4"/>
        <v>Other</v>
      </c>
      <c r="K97" s="3">
        <f t="shared" si="5"/>
        <v>0</v>
      </c>
    </row>
    <row r="98" spans="9:11" x14ac:dyDescent="0.25">
      <c r="I98" t="str">
        <f t="shared" si="3"/>
        <v>Unknown</v>
      </c>
      <c r="J98" t="str">
        <f t="shared" si="4"/>
        <v>Other</v>
      </c>
      <c r="K98" s="3">
        <f t="shared" si="5"/>
        <v>0</v>
      </c>
    </row>
    <row r="99" spans="9:11" x14ac:dyDescent="0.25">
      <c r="I99" t="str">
        <f t="shared" si="3"/>
        <v>Unknown</v>
      </c>
      <c r="J99" t="str">
        <f t="shared" si="4"/>
        <v>Other</v>
      </c>
      <c r="K99" s="3">
        <f t="shared" si="5"/>
        <v>0</v>
      </c>
    </row>
    <row r="100" spans="9:11" x14ac:dyDescent="0.25">
      <c r="I100" t="str">
        <f t="shared" si="3"/>
        <v>Unknown</v>
      </c>
      <c r="J100" t="str">
        <f t="shared" si="4"/>
        <v>Other</v>
      </c>
      <c r="K100" s="3">
        <f t="shared" si="5"/>
        <v>0</v>
      </c>
    </row>
    <row r="101" spans="9:11" x14ac:dyDescent="0.25">
      <c r="I101" t="str">
        <f t="shared" si="3"/>
        <v>Unknown</v>
      </c>
      <c r="J101" t="str">
        <f t="shared" si="4"/>
        <v>Other</v>
      </c>
      <c r="K101" s="3">
        <f t="shared" si="5"/>
        <v>0</v>
      </c>
    </row>
    <row r="102" spans="9:11" x14ac:dyDescent="0.25">
      <c r="I102" t="str">
        <f t="shared" si="3"/>
        <v>Unknown</v>
      </c>
      <c r="J102" t="str">
        <f t="shared" si="4"/>
        <v>Other</v>
      </c>
      <c r="K102" s="3">
        <f t="shared" si="5"/>
        <v>0</v>
      </c>
    </row>
    <row r="103" spans="9:11" x14ac:dyDescent="0.25">
      <c r="I103" t="str">
        <f t="shared" si="3"/>
        <v>Unknown</v>
      </c>
      <c r="J103" t="str">
        <f t="shared" si="4"/>
        <v>Other</v>
      </c>
      <c r="K103" s="3">
        <f t="shared" si="5"/>
        <v>0</v>
      </c>
    </row>
    <row r="104" spans="9:11" x14ac:dyDescent="0.25">
      <c r="I104" t="str">
        <f t="shared" si="3"/>
        <v>Unknown</v>
      </c>
      <c r="J104" t="str">
        <f t="shared" si="4"/>
        <v>Other</v>
      </c>
      <c r="K104" s="3">
        <f t="shared" si="5"/>
        <v>0</v>
      </c>
    </row>
    <row r="105" spans="9:11" x14ac:dyDescent="0.25">
      <c r="I105" t="str">
        <f t="shared" si="3"/>
        <v>Unknown</v>
      </c>
      <c r="J105" t="str">
        <f t="shared" si="4"/>
        <v>Other</v>
      </c>
      <c r="K105" s="3">
        <f t="shared" si="5"/>
        <v>0</v>
      </c>
    </row>
    <row r="106" spans="9:11" x14ac:dyDescent="0.25">
      <c r="I106" t="str">
        <f t="shared" si="3"/>
        <v>Unknown</v>
      </c>
      <c r="J106" t="str">
        <f t="shared" si="4"/>
        <v>Other</v>
      </c>
      <c r="K106" s="3">
        <f t="shared" si="5"/>
        <v>0</v>
      </c>
    </row>
    <row r="107" spans="9:11" x14ac:dyDescent="0.25">
      <c r="I107" t="str">
        <f t="shared" si="3"/>
        <v>Unknown</v>
      </c>
      <c r="J107" t="str">
        <f t="shared" si="4"/>
        <v>Other</v>
      </c>
      <c r="K107" s="3">
        <f t="shared" si="5"/>
        <v>0</v>
      </c>
    </row>
    <row r="108" spans="9:11" x14ac:dyDescent="0.25">
      <c r="I108" t="str">
        <f t="shared" si="3"/>
        <v>Unknown</v>
      </c>
      <c r="J108" t="str">
        <f t="shared" si="4"/>
        <v>Other</v>
      </c>
      <c r="K108" s="3">
        <f t="shared" si="5"/>
        <v>0</v>
      </c>
    </row>
    <row r="109" spans="9:11" x14ac:dyDescent="0.25">
      <c r="I109" t="str">
        <f t="shared" si="3"/>
        <v>Unknown</v>
      </c>
      <c r="J109" t="str">
        <f t="shared" si="4"/>
        <v>Other</v>
      </c>
      <c r="K109" s="3">
        <f t="shared" si="5"/>
        <v>0</v>
      </c>
    </row>
    <row r="110" spans="9:11" x14ac:dyDescent="0.25">
      <c r="I110" t="str">
        <f t="shared" si="3"/>
        <v>Unknown</v>
      </c>
      <c r="J110" t="str">
        <f t="shared" si="4"/>
        <v>Other</v>
      </c>
      <c r="K110" s="3">
        <f t="shared" si="5"/>
        <v>0</v>
      </c>
    </row>
    <row r="111" spans="9:11" x14ac:dyDescent="0.25">
      <c r="I111" t="str">
        <f t="shared" si="3"/>
        <v>Unknown</v>
      </c>
      <c r="J111" t="str">
        <f t="shared" si="4"/>
        <v>Other</v>
      </c>
      <c r="K111" s="3">
        <f t="shared" si="5"/>
        <v>0</v>
      </c>
    </row>
    <row r="112" spans="9:11" x14ac:dyDescent="0.25">
      <c r="I112" t="str">
        <f t="shared" si="3"/>
        <v>Unknown</v>
      </c>
      <c r="J112" t="str">
        <f t="shared" si="4"/>
        <v>Other</v>
      </c>
      <c r="K112" s="3">
        <f t="shared" si="5"/>
        <v>0</v>
      </c>
    </row>
    <row r="113" spans="9:11" x14ac:dyDescent="0.25">
      <c r="I113" t="str">
        <f t="shared" si="3"/>
        <v>Unknown</v>
      </c>
      <c r="J113" t="str">
        <f t="shared" si="4"/>
        <v>Other</v>
      </c>
      <c r="K113" s="3">
        <f t="shared" si="5"/>
        <v>0</v>
      </c>
    </row>
    <row r="114" spans="9:11" x14ac:dyDescent="0.25">
      <c r="I114" t="str">
        <f t="shared" si="3"/>
        <v>Unknown</v>
      </c>
      <c r="J114" t="str">
        <f t="shared" si="4"/>
        <v>Other</v>
      </c>
      <c r="K114" s="3">
        <f t="shared" si="5"/>
        <v>0</v>
      </c>
    </row>
    <row r="115" spans="9:11" x14ac:dyDescent="0.25">
      <c r="I115" t="str">
        <f t="shared" si="3"/>
        <v>Unknown</v>
      </c>
      <c r="J115" t="str">
        <f t="shared" si="4"/>
        <v>Other</v>
      </c>
      <c r="K115" s="3">
        <f t="shared" si="5"/>
        <v>0</v>
      </c>
    </row>
    <row r="116" spans="9:11" x14ac:dyDescent="0.25">
      <c r="I116" t="str">
        <f t="shared" si="3"/>
        <v>Unknown</v>
      </c>
      <c r="J116" t="str">
        <f t="shared" si="4"/>
        <v>Other</v>
      </c>
      <c r="K116" s="3">
        <f t="shared" si="5"/>
        <v>0</v>
      </c>
    </row>
    <row r="117" spans="9:11" x14ac:dyDescent="0.25">
      <c r="I117" t="str">
        <f t="shared" si="3"/>
        <v>Unknown</v>
      </c>
      <c r="J117" t="str">
        <f t="shared" si="4"/>
        <v>Other</v>
      </c>
      <c r="K117" s="3">
        <f t="shared" si="5"/>
        <v>0</v>
      </c>
    </row>
    <row r="118" spans="9:11" x14ac:dyDescent="0.25">
      <c r="I118" t="str">
        <f t="shared" si="3"/>
        <v>Unknown</v>
      </c>
      <c r="J118" t="str">
        <f t="shared" si="4"/>
        <v>Other</v>
      </c>
      <c r="K118" s="3">
        <f t="shared" si="5"/>
        <v>0</v>
      </c>
    </row>
    <row r="119" spans="9:11" x14ac:dyDescent="0.25">
      <c r="I119" t="str">
        <f t="shared" si="3"/>
        <v>Unknown</v>
      </c>
      <c r="J119" t="str">
        <f t="shared" si="4"/>
        <v>Other</v>
      </c>
      <c r="K119" s="3">
        <f t="shared" si="5"/>
        <v>0</v>
      </c>
    </row>
    <row r="120" spans="9:11" x14ac:dyDescent="0.25">
      <c r="I120" t="str">
        <f t="shared" si="3"/>
        <v>Unknown</v>
      </c>
      <c r="J120" t="str">
        <f t="shared" si="4"/>
        <v>Other</v>
      </c>
      <c r="K120" s="3">
        <f t="shared" si="5"/>
        <v>0</v>
      </c>
    </row>
    <row r="121" spans="9:11" x14ac:dyDescent="0.25">
      <c r="I121" t="str">
        <f t="shared" si="3"/>
        <v>Unknown</v>
      </c>
      <c r="J121" t="str">
        <f t="shared" si="4"/>
        <v>Other</v>
      </c>
      <c r="K121" s="3">
        <f t="shared" si="5"/>
        <v>0</v>
      </c>
    </row>
    <row r="122" spans="9:11" x14ac:dyDescent="0.25">
      <c r="I122" t="str">
        <f t="shared" si="3"/>
        <v>Unknown</v>
      </c>
      <c r="J122" t="str">
        <f t="shared" si="4"/>
        <v>Other</v>
      </c>
      <c r="K122" s="3">
        <f t="shared" si="5"/>
        <v>0</v>
      </c>
    </row>
    <row r="123" spans="9:11" x14ac:dyDescent="0.25">
      <c r="I123" t="str">
        <f t="shared" si="3"/>
        <v>Unknown</v>
      </c>
      <c r="J123" t="str">
        <f t="shared" si="4"/>
        <v>Other</v>
      </c>
      <c r="K123" s="3">
        <f t="shared" si="5"/>
        <v>0</v>
      </c>
    </row>
    <row r="124" spans="9:11" x14ac:dyDescent="0.25">
      <c r="I124" t="str">
        <f t="shared" si="3"/>
        <v>Unknown</v>
      </c>
      <c r="J124" t="str">
        <f t="shared" si="4"/>
        <v>Other</v>
      </c>
      <c r="K124" s="3">
        <f t="shared" si="5"/>
        <v>0</v>
      </c>
    </row>
    <row r="125" spans="9:11" x14ac:dyDescent="0.25">
      <c r="I125" t="str">
        <f t="shared" si="3"/>
        <v>Unknown</v>
      </c>
      <c r="J125" t="str">
        <f t="shared" si="4"/>
        <v>Other</v>
      </c>
      <c r="K125" s="3">
        <f t="shared" si="5"/>
        <v>0</v>
      </c>
    </row>
    <row r="126" spans="9:11" x14ac:dyDescent="0.25">
      <c r="I126" t="str">
        <f t="shared" si="3"/>
        <v>Unknown</v>
      </c>
      <c r="J126" t="str">
        <f t="shared" si="4"/>
        <v>Other</v>
      </c>
      <c r="K126" s="3">
        <f t="shared" si="5"/>
        <v>0</v>
      </c>
    </row>
    <row r="127" spans="9:11" x14ac:dyDescent="0.25">
      <c r="I127" t="str">
        <f t="shared" si="3"/>
        <v>Unknown</v>
      </c>
      <c r="J127" t="str">
        <f t="shared" si="4"/>
        <v>Other</v>
      </c>
      <c r="K127" s="3">
        <f t="shared" si="5"/>
        <v>0</v>
      </c>
    </row>
    <row r="128" spans="9:11" x14ac:dyDescent="0.25">
      <c r="I128" t="str">
        <f t="shared" si="3"/>
        <v>Unknown</v>
      </c>
      <c r="J128" t="str">
        <f t="shared" si="4"/>
        <v>Other</v>
      </c>
      <c r="K128" s="3">
        <f t="shared" si="5"/>
        <v>0</v>
      </c>
    </row>
    <row r="129" spans="9:11" x14ac:dyDescent="0.25">
      <c r="I129" t="str">
        <f t="shared" si="3"/>
        <v>Unknown</v>
      </c>
      <c r="J129" t="str">
        <f t="shared" si="4"/>
        <v>Other</v>
      </c>
      <c r="K129" s="3">
        <f t="shared" si="5"/>
        <v>0</v>
      </c>
    </row>
    <row r="130" spans="9:11" x14ac:dyDescent="0.25">
      <c r="I130" t="str">
        <f t="shared" ref="I130:I193" si="6">IF(ISNUMBER(SEARCH("kirk",F130)),"Kirk",IF(ISNUMBER(SEARCH("justin",F130)),"Justin",IF(ISNUMBER(SEARCH("reyna",F130)),"Reyna","Unknown")))</f>
        <v>Unknown</v>
      </c>
      <c r="J130" t="str">
        <f t="shared" ref="J130:J193" si="7">IF(ISNUMBER(SEARCH("onboard",F130)),"Onboarded",IF(ISNUMBER(SEARCH("referr",F130)),"Referral",IF(ISNUMBER(SEARCH("transfer",F130)),"Transfer","Other")))</f>
        <v>Other</v>
      </c>
      <c r="K130" s="3">
        <f t="shared" ref="K130:K193" si="8">IF(AND(I130="Kirk",J130="Onboarded"),3,IF(AND(I130="Kirk",J130="Referral"),2,IF(AND(I130="Kirk",J130="Transfer"),2,IF(AND(I130="Justin",J130="Onboarded"),3,IF(AND(I130="Justin",J130="Referral"),2,IF(AND(I130="Justin",J130="Transfer"),2,IF(AND(I130="Reyna",J130="Onboarded"),3,IF(AND(I130="Reyna",J130="Referral"),2,IF(AND(I130="Reyna",J130="Transfer"),2,0)))))))))</f>
        <v>0</v>
      </c>
    </row>
    <row r="131" spans="9:11" x14ac:dyDescent="0.25">
      <c r="I131" t="str">
        <f t="shared" si="6"/>
        <v>Unknown</v>
      </c>
      <c r="J131" t="str">
        <f t="shared" si="7"/>
        <v>Other</v>
      </c>
      <c r="K131" s="3">
        <f t="shared" si="8"/>
        <v>0</v>
      </c>
    </row>
    <row r="132" spans="9:11" x14ac:dyDescent="0.25">
      <c r="I132" t="str">
        <f t="shared" si="6"/>
        <v>Unknown</v>
      </c>
      <c r="J132" t="str">
        <f t="shared" si="7"/>
        <v>Other</v>
      </c>
      <c r="K132" s="3">
        <f t="shared" si="8"/>
        <v>0</v>
      </c>
    </row>
    <row r="133" spans="9:11" x14ac:dyDescent="0.25">
      <c r="I133" t="str">
        <f t="shared" si="6"/>
        <v>Unknown</v>
      </c>
      <c r="J133" t="str">
        <f t="shared" si="7"/>
        <v>Other</v>
      </c>
      <c r="K133" s="3">
        <f t="shared" si="8"/>
        <v>0</v>
      </c>
    </row>
    <row r="134" spans="9:11" x14ac:dyDescent="0.25">
      <c r="I134" t="str">
        <f t="shared" si="6"/>
        <v>Unknown</v>
      </c>
      <c r="J134" t="str">
        <f t="shared" si="7"/>
        <v>Other</v>
      </c>
      <c r="K134" s="3">
        <f t="shared" si="8"/>
        <v>0</v>
      </c>
    </row>
    <row r="135" spans="9:11" x14ac:dyDescent="0.25">
      <c r="I135" t="str">
        <f t="shared" si="6"/>
        <v>Unknown</v>
      </c>
      <c r="J135" t="str">
        <f t="shared" si="7"/>
        <v>Other</v>
      </c>
      <c r="K135" s="3">
        <f t="shared" si="8"/>
        <v>0</v>
      </c>
    </row>
    <row r="136" spans="9:11" x14ac:dyDescent="0.25">
      <c r="I136" t="str">
        <f t="shared" si="6"/>
        <v>Unknown</v>
      </c>
      <c r="J136" t="str">
        <f t="shared" si="7"/>
        <v>Other</v>
      </c>
      <c r="K136" s="3">
        <f t="shared" si="8"/>
        <v>0</v>
      </c>
    </row>
    <row r="137" spans="9:11" x14ac:dyDescent="0.25">
      <c r="I137" t="str">
        <f t="shared" si="6"/>
        <v>Unknown</v>
      </c>
      <c r="J137" t="str">
        <f t="shared" si="7"/>
        <v>Other</v>
      </c>
      <c r="K137" s="3">
        <f t="shared" si="8"/>
        <v>0</v>
      </c>
    </row>
    <row r="138" spans="9:11" x14ac:dyDescent="0.25">
      <c r="I138" t="str">
        <f t="shared" si="6"/>
        <v>Unknown</v>
      </c>
      <c r="J138" t="str">
        <f t="shared" si="7"/>
        <v>Other</v>
      </c>
      <c r="K138" s="3">
        <f t="shared" si="8"/>
        <v>0</v>
      </c>
    </row>
    <row r="139" spans="9:11" x14ac:dyDescent="0.25">
      <c r="I139" t="str">
        <f t="shared" si="6"/>
        <v>Unknown</v>
      </c>
      <c r="J139" t="str">
        <f t="shared" si="7"/>
        <v>Other</v>
      </c>
      <c r="K139" s="3">
        <f t="shared" si="8"/>
        <v>0</v>
      </c>
    </row>
    <row r="140" spans="9:11" x14ac:dyDescent="0.25">
      <c r="I140" t="str">
        <f t="shared" si="6"/>
        <v>Unknown</v>
      </c>
      <c r="J140" t="str">
        <f t="shared" si="7"/>
        <v>Other</v>
      </c>
      <c r="K140" s="3">
        <f t="shared" si="8"/>
        <v>0</v>
      </c>
    </row>
    <row r="141" spans="9:11" x14ac:dyDescent="0.25">
      <c r="I141" t="str">
        <f t="shared" si="6"/>
        <v>Unknown</v>
      </c>
      <c r="J141" t="str">
        <f t="shared" si="7"/>
        <v>Other</v>
      </c>
      <c r="K141" s="3">
        <f t="shared" si="8"/>
        <v>0</v>
      </c>
    </row>
    <row r="142" spans="9:11" x14ac:dyDescent="0.25">
      <c r="I142" t="str">
        <f t="shared" si="6"/>
        <v>Unknown</v>
      </c>
      <c r="J142" t="str">
        <f t="shared" si="7"/>
        <v>Other</v>
      </c>
      <c r="K142" s="3">
        <f t="shared" si="8"/>
        <v>0</v>
      </c>
    </row>
    <row r="143" spans="9:11" x14ac:dyDescent="0.25">
      <c r="I143" t="str">
        <f t="shared" si="6"/>
        <v>Unknown</v>
      </c>
      <c r="J143" t="str">
        <f t="shared" si="7"/>
        <v>Other</v>
      </c>
      <c r="K143" s="3">
        <f t="shared" si="8"/>
        <v>0</v>
      </c>
    </row>
    <row r="144" spans="9:11" x14ac:dyDescent="0.25">
      <c r="I144" t="str">
        <f t="shared" si="6"/>
        <v>Unknown</v>
      </c>
      <c r="J144" t="str">
        <f t="shared" si="7"/>
        <v>Other</v>
      </c>
      <c r="K144" s="3">
        <f t="shared" si="8"/>
        <v>0</v>
      </c>
    </row>
    <row r="145" spans="9:11" x14ac:dyDescent="0.25">
      <c r="I145" t="str">
        <f t="shared" si="6"/>
        <v>Unknown</v>
      </c>
      <c r="J145" t="str">
        <f t="shared" si="7"/>
        <v>Other</v>
      </c>
      <c r="K145" s="3">
        <f t="shared" si="8"/>
        <v>0</v>
      </c>
    </row>
    <row r="146" spans="9:11" x14ac:dyDescent="0.25">
      <c r="I146" t="str">
        <f t="shared" si="6"/>
        <v>Unknown</v>
      </c>
      <c r="J146" t="str">
        <f t="shared" si="7"/>
        <v>Other</v>
      </c>
      <c r="K146" s="3">
        <f t="shared" si="8"/>
        <v>0</v>
      </c>
    </row>
    <row r="147" spans="9:11" x14ac:dyDescent="0.25">
      <c r="I147" t="str">
        <f t="shared" si="6"/>
        <v>Unknown</v>
      </c>
      <c r="J147" t="str">
        <f t="shared" si="7"/>
        <v>Other</v>
      </c>
      <c r="K147" s="3">
        <f t="shared" si="8"/>
        <v>0</v>
      </c>
    </row>
    <row r="148" spans="9:11" x14ac:dyDescent="0.25">
      <c r="I148" t="str">
        <f t="shared" si="6"/>
        <v>Unknown</v>
      </c>
      <c r="J148" t="str">
        <f t="shared" si="7"/>
        <v>Other</v>
      </c>
      <c r="K148" s="3">
        <f t="shared" si="8"/>
        <v>0</v>
      </c>
    </row>
    <row r="149" spans="9:11" x14ac:dyDescent="0.25">
      <c r="I149" t="str">
        <f t="shared" si="6"/>
        <v>Unknown</v>
      </c>
      <c r="J149" t="str">
        <f t="shared" si="7"/>
        <v>Other</v>
      </c>
      <c r="K149" s="3">
        <f t="shared" si="8"/>
        <v>0</v>
      </c>
    </row>
    <row r="150" spans="9:11" x14ac:dyDescent="0.25">
      <c r="I150" t="str">
        <f t="shared" si="6"/>
        <v>Unknown</v>
      </c>
      <c r="J150" t="str">
        <f t="shared" si="7"/>
        <v>Other</v>
      </c>
      <c r="K150" s="3">
        <f t="shared" si="8"/>
        <v>0</v>
      </c>
    </row>
    <row r="151" spans="9:11" x14ac:dyDescent="0.25">
      <c r="I151" t="str">
        <f t="shared" si="6"/>
        <v>Unknown</v>
      </c>
      <c r="J151" t="str">
        <f t="shared" si="7"/>
        <v>Other</v>
      </c>
      <c r="K151" s="3">
        <f t="shared" si="8"/>
        <v>0</v>
      </c>
    </row>
    <row r="152" spans="9:11" x14ac:dyDescent="0.25">
      <c r="I152" t="str">
        <f t="shared" si="6"/>
        <v>Unknown</v>
      </c>
      <c r="J152" t="str">
        <f t="shared" si="7"/>
        <v>Other</v>
      </c>
      <c r="K152" s="3">
        <f t="shared" si="8"/>
        <v>0</v>
      </c>
    </row>
    <row r="153" spans="9:11" x14ac:dyDescent="0.25">
      <c r="I153" t="str">
        <f t="shared" si="6"/>
        <v>Unknown</v>
      </c>
      <c r="J153" t="str">
        <f t="shared" si="7"/>
        <v>Other</v>
      </c>
      <c r="K153" s="3">
        <f t="shared" si="8"/>
        <v>0</v>
      </c>
    </row>
    <row r="154" spans="9:11" x14ac:dyDescent="0.25">
      <c r="I154" t="str">
        <f t="shared" si="6"/>
        <v>Unknown</v>
      </c>
      <c r="J154" t="str">
        <f t="shared" si="7"/>
        <v>Other</v>
      </c>
      <c r="K154" s="3">
        <f t="shared" si="8"/>
        <v>0</v>
      </c>
    </row>
    <row r="155" spans="9:11" x14ac:dyDescent="0.25">
      <c r="I155" t="str">
        <f t="shared" si="6"/>
        <v>Unknown</v>
      </c>
      <c r="J155" t="str">
        <f t="shared" si="7"/>
        <v>Other</v>
      </c>
      <c r="K155" s="3">
        <f t="shared" si="8"/>
        <v>0</v>
      </c>
    </row>
    <row r="156" spans="9:11" x14ac:dyDescent="0.25">
      <c r="I156" t="str">
        <f t="shared" si="6"/>
        <v>Unknown</v>
      </c>
      <c r="J156" t="str">
        <f t="shared" si="7"/>
        <v>Other</v>
      </c>
      <c r="K156" s="3">
        <f t="shared" si="8"/>
        <v>0</v>
      </c>
    </row>
    <row r="157" spans="9:11" x14ac:dyDescent="0.25">
      <c r="I157" t="str">
        <f t="shared" si="6"/>
        <v>Unknown</v>
      </c>
      <c r="J157" t="str">
        <f t="shared" si="7"/>
        <v>Other</v>
      </c>
      <c r="K157" s="3">
        <f t="shared" si="8"/>
        <v>0</v>
      </c>
    </row>
    <row r="158" spans="9:11" x14ac:dyDescent="0.25">
      <c r="I158" t="str">
        <f t="shared" si="6"/>
        <v>Unknown</v>
      </c>
      <c r="J158" t="str">
        <f t="shared" si="7"/>
        <v>Other</v>
      </c>
      <c r="K158" s="3">
        <f t="shared" si="8"/>
        <v>0</v>
      </c>
    </row>
    <row r="159" spans="9:11" x14ac:dyDescent="0.25">
      <c r="I159" t="str">
        <f t="shared" si="6"/>
        <v>Unknown</v>
      </c>
      <c r="J159" t="str">
        <f t="shared" si="7"/>
        <v>Other</v>
      </c>
      <c r="K159" s="3">
        <f t="shared" si="8"/>
        <v>0</v>
      </c>
    </row>
    <row r="160" spans="9:11" x14ac:dyDescent="0.25">
      <c r="I160" t="str">
        <f t="shared" si="6"/>
        <v>Unknown</v>
      </c>
      <c r="J160" t="str">
        <f t="shared" si="7"/>
        <v>Other</v>
      </c>
      <c r="K160" s="3">
        <f t="shared" si="8"/>
        <v>0</v>
      </c>
    </row>
    <row r="161" spans="9:11" x14ac:dyDescent="0.25">
      <c r="I161" t="str">
        <f t="shared" si="6"/>
        <v>Unknown</v>
      </c>
      <c r="J161" t="str">
        <f t="shared" si="7"/>
        <v>Other</v>
      </c>
      <c r="K161" s="3">
        <f t="shared" si="8"/>
        <v>0</v>
      </c>
    </row>
    <row r="162" spans="9:11" x14ac:dyDescent="0.25">
      <c r="I162" t="str">
        <f t="shared" si="6"/>
        <v>Unknown</v>
      </c>
      <c r="J162" t="str">
        <f t="shared" si="7"/>
        <v>Other</v>
      </c>
      <c r="K162" s="3">
        <f t="shared" si="8"/>
        <v>0</v>
      </c>
    </row>
    <row r="163" spans="9:11" x14ac:dyDescent="0.25">
      <c r="I163" t="str">
        <f t="shared" si="6"/>
        <v>Unknown</v>
      </c>
      <c r="J163" t="str">
        <f t="shared" si="7"/>
        <v>Other</v>
      </c>
      <c r="K163" s="3">
        <f t="shared" si="8"/>
        <v>0</v>
      </c>
    </row>
    <row r="164" spans="9:11" x14ac:dyDescent="0.25">
      <c r="I164" t="str">
        <f t="shared" si="6"/>
        <v>Unknown</v>
      </c>
      <c r="J164" t="str">
        <f t="shared" si="7"/>
        <v>Other</v>
      </c>
      <c r="K164" s="3">
        <f t="shared" si="8"/>
        <v>0</v>
      </c>
    </row>
    <row r="165" spans="9:11" x14ac:dyDescent="0.25">
      <c r="I165" t="str">
        <f t="shared" si="6"/>
        <v>Unknown</v>
      </c>
      <c r="J165" t="str">
        <f t="shared" si="7"/>
        <v>Other</v>
      </c>
      <c r="K165" s="3">
        <f t="shared" si="8"/>
        <v>0</v>
      </c>
    </row>
    <row r="166" spans="9:11" x14ac:dyDescent="0.25">
      <c r="I166" t="str">
        <f t="shared" si="6"/>
        <v>Unknown</v>
      </c>
      <c r="J166" t="str">
        <f t="shared" si="7"/>
        <v>Other</v>
      </c>
      <c r="K166" s="3">
        <f t="shared" si="8"/>
        <v>0</v>
      </c>
    </row>
    <row r="167" spans="9:11" x14ac:dyDescent="0.25">
      <c r="I167" t="str">
        <f t="shared" si="6"/>
        <v>Unknown</v>
      </c>
      <c r="J167" t="str">
        <f t="shared" si="7"/>
        <v>Other</v>
      </c>
      <c r="K167" s="3">
        <f t="shared" si="8"/>
        <v>0</v>
      </c>
    </row>
    <row r="168" spans="9:11" x14ac:dyDescent="0.25">
      <c r="I168" t="str">
        <f t="shared" si="6"/>
        <v>Unknown</v>
      </c>
      <c r="J168" t="str">
        <f t="shared" si="7"/>
        <v>Other</v>
      </c>
      <c r="K168" s="3">
        <f t="shared" si="8"/>
        <v>0</v>
      </c>
    </row>
    <row r="169" spans="9:11" x14ac:dyDescent="0.25">
      <c r="I169" t="str">
        <f t="shared" si="6"/>
        <v>Unknown</v>
      </c>
      <c r="J169" t="str">
        <f t="shared" si="7"/>
        <v>Other</v>
      </c>
      <c r="K169" s="3">
        <f t="shared" si="8"/>
        <v>0</v>
      </c>
    </row>
    <row r="170" spans="9:11" x14ac:dyDescent="0.25">
      <c r="I170" t="str">
        <f t="shared" si="6"/>
        <v>Unknown</v>
      </c>
      <c r="J170" t="str">
        <f t="shared" si="7"/>
        <v>Other</v>
      </c>
      <c r="K170" s="3">
        <f t="shared" si="8"/>
        <v>0</v>
      </c>
    </row>
    <row r="171" spans="9:11" x14ac:dyDescent="0.25">
      <c r="I171" t="str">
        <f t="shared" si="6"/>
        <v>Unknown</v>
      </c>
      <c r="J171" t="str">
        <f t="shared" si="7"/>
        <v>Other</v>
      </c>
      <c r="K171" s="3">
        <f t="shared" si="8"/>
        <v>0</v>
      </c>
    </row>
    <row r="172" spans="9:11" x14ac:dyDescent="0.25">
      <c r="I172" t="str">
        <f t="shared" si="6"/>
        <v>Unknown</v>
      </c>
      <c r="J172" t="str">
        <f t="shared" si="7"/>
        <v>Other</v>
      </c>
      <c r="K172" s="3">
        <f t="shared" si="8"/>
        <v>0</v>
      </c>
    </row>
    <row r="173" spans="9:11" x14ac:dyDescent="0.25">
      <c r="I173" t="str">
        <f t="shared" si="6"/>
        <v>Unknown</v>
      </c>
      <c r="J173" t="str">
        <f t="shared" si="7"/>
        <v>Other</v>
      </c>
      <c r="K173" s="3">
        <f t="shared" si="8"/>
        <v>0</v>
      </c>
    </row>
    <row r="174" spans="9:11" x14ac:dyDescent="0.25">
      <c r="I174" t="str">
        <f t="shared" si="6"/>
        <v>Unknown</v>
      </c>
      <c r="J174" t="str">
        <f t="shared" si="7"/>
        <v>Other</v>
      </c>
      <c r="K174" s="3">
        <f t="shared" si="8"/>
        <v>0</v>
      </c>
    </row>
    <row r="175" spans="9:11" x14ac:dyDescent="0.25">
      <c r="I175" t="str">
        <f t="shared" si="6"/>
        <v>Unknown</v>
      </c>
      <c r="J175" t="str">
        <f t="shared" si="7"/>
        <v>Other</v>
      </c>
      <c r="K175" s="3">
        <f t="shared" si="8"/>
        <v>0</v>
      </c>
    </row>
    <row r="176" spans="9:11" x14ac:dyDescent="0.25">
      <c r="I176" t="str">
        <f t="shared" si="6"/>
        <v>Unknown</v>
      </c>
      <c r="J176" t="str">
        <f t="shared" si="7"/>
        <v>Other</v>
      </c>
      <c r="K176" s="3">
        <f t="shared" si="8"/>
        <v>0</v>
      </c>
    </row>
    <row r="177" spans="9:11" x14ac:dyDescent="0.25">
      <c r="I177" t="str">
        <f t="shared" si="6"/>
        <v>Unknown</v>
      </c>
      <c r="J177" t="str">
        <f t="shared" si="7"/>
        <v>Other</v>
      </c>
      <c r="K177" s="3">
        <f t="shared" si="8"/>
        <v>0</v>
      </c>
    </row>
    <row r="178" spans="9:11" x14ac:dyDescent="0.25">
      <c r="I178" t="str">
        <f t="shared" si="6"/>
        <v>Unknown</v>
      </c>
      <c r="J178" t="str">
        <f t="shared" si="7"/>
        <v>Other</v>
      </c>
      <c r="K178" s="3">
        <f t="shared" si="8"/>
        <v>0</v>
      </c>
    </row>
    <row r="179" spans="9:11" x14ac:dyDescent="0.25">
      <c r="I179" t="str">
        <f t="shared" si="6"/>
        <v>Unknown</v>
      </c>
      <c r="J179" t="str">
        <f t="shared" si="7"/>
        <v>Other</v>
      </c>
      <c r="K179" s="3">
        <f t="shared" si="8"/>
        <v>0</v>
      </c>
    </row>
    <row r="180" spans="9:11" x14ac:dyDescent="0.25">
      <c r="I180" t="str">
        <f t="shared" si="6"/>
        <v>Unknown</v>
      </c>
      <c r="J180" t="str">
        <f t="shared" si="7"/>
        <v>Other</v>
      </c>
      <c r="K180" s="3">
        <f t="shared" si="8"/>
        <v>0</v>
      </c>
    </row>
    <row r="181" spans="9:11" x14ac:dyDescent="0.25">
      <c r="I181" t="str">
        <f t="shared" si="6"/>
        <v>Unknown</v>
      </c>
      <c r="J181" t="str">
        <f t="shared" si="7"/>
        <v>Other</v>
      </c>
      <c r="K181" s="3">
        <f t="shared" si="8"/>
        <v>0</v>
      </c>
    </row>
    <row r="182" spans="9:11" x14ac:dyDescent="0.25">
      <c r="I182" t="str">
        <f t="shared" si="6"/>
        <v>Unknown</v>
      </c>
      <c r="J182" t="str">
        <f t="shared" si="7"/>
        <v>Other</v>
      </c>
      <c r="K182" s="3">
        <f t="shared" si="8"/>
        <v>0</v>
      </c>
    </row>
    <row r="183" spans="9:11" x14ac:dyDescent="0.25">
      <c r="I183" t="str">
        <f t="shared" si="6"/>
        <v>Unknown</v>
      </c>
      <c r="J183" t="str">
        <f t="shared" si="7"/>
        <v>Other</v>
      </c>
      <c r="K183" s="3">
        <f t="shared" si="8"/>
        <v>0</v>
      </c>
    </row>
    <row r="184" spans="9:11" x14ac:dyDescent="0.25">
      <c r="I184" t="str">
        <f t="shared" si="6"/>
        <v>Unknown</v>
      </c>
      <c r="J184" t="str">
        <f t="shared" si="7"/>
        <v>Other</v>
      </c>
      <c r="K184" s="3">
        <f t="shared" si="8"/>
        <v>0</v>
      </c>
    </row>
    <row r="185" spans="9:11" x14ac:dyDescent="0.25">
      <c r="I185" t="str">
        <f t="shared" si="6"/>
        <v>Unknown</v>
      </c>
      <c r="J185" t="str">
        <f t="shared" si="7"/>
        <v>Other</v>
      </c>
      <c r="K185" s="3">
        <f t="shared" si="8"/>
        <v>0</v>
      </c>
    </row>
    <row r="186" spans="9:11" x14ac:dyDescent="0.25">
      <c r="I186" t="str">
        <f t="shared" si="6"/>
        <v>Unknown</v>
      </c>
      <c r="J186" t="str">
        <f t="shared" si="7"/>
        <v>Other</v>
      </c>
      <c r="K186" s="3">
        <f t="shared" si="8"/>
        <v>0</v>
      </c>
    </row>
    <row r="187" spans="9:11" x14ac:dyDescent="0.25">
      <c r="I187" t="str">
        <f t="shared" si="6"/>
        <v>Unknown</v>
      </c>
      <c r="J187" t="str">
        <f t="shared" si="7"/>
        <v>Other</v>
      </c>
      <c r="K187" s="3">
        <f t="shared" si="8"/>
        <v>0</v>
      </c>
    </row>
    <row r="188" spans="9:11" x14ac:dyDescent="0.25">
      <c r="I188" t="str">
        <f t="shared" si="6"/>
        <v>Unknown</v>
      </c>
      <c r="J188" t="str">
        <f t="shared" si="7"/>
        <v>Other</v>
      </c>
      <c r="K188" s="3">
        <f t="shared" si="8"/>
        <v>0</v>
      </c>
    </row>
    <row r="189" spans="9:11" x14ac:dyDescent="0.25">
      <c r="I189" t="str">
        <f t="shared" si="6"/>
        <v>Unknown</v>
      </c>
      <c r="J189" t="str">
        <f t="shared" si="7"/>
        <v>Other</v>
      </c>
      <c r="K189" s="3">
        <f t="shared" si="8"/>
        <v>0</v>
      </c>
    </row>
    <row r="190" spans="9:11" x14ac:dyDescent="0.25">
      <c r="I190" t="str">
        <f t="shared" si="6"/>
        <v>Unknown</v>
      </c>
      <c r="J190" t="str">
        <f t="shared" si="7"/>
        <v>Other</v>
      </c>
      <c r="K190" s="3">
        <f t="shared" si="8"/>
        <v>0</v>
      </c>
    </row>
    <row r="191" spans="9:11" x14ac:dyDescent="0.25">
      <c r="I191" t="str">
        <f t="shared" si="6"/>
        <v>Unknown</v>
      </c>
      <c r="J191" t="str">
        <f t="shared" si="7"/>
        <v>Other</v>
      </c>
      <c r="K191" s="3">
        <f t="shared" si="8"/>
        <v>0</v>
      </c>
    </row>
    <row r="192" spans="9:11" x14ac:dyDescent="0.25">
      <c r="I192" t="str">
        <f t="shared" si="6"/>
        <v>Unknown</v>
      </c>
      <c r="J192" t="str">
        <f t="shared" si="7"/>
        <v>Other</v>
      </c>
      <c r="K192" s="3">
        <f t="shared" si="8"/>
        <v>0</v>
      </c>
    </row>
    <row r="193" spans="9:11" x14ac:dyDescent="0.25">
      <c r="I193" t="str">
        <f t="shared" si="6"/>
        <v>Unknown</v>
      </c>
      <c r="J193" t="str">
        <f t="shared" si="7"/>
        <v>Other</v>
      </c>
      <c r="K193" s="3">
        <f t="shared" si="8"/>
        <v>0</v>
      </c>
    </row>
    <row r="194" spans="9:11" x14ac:dyDescent="0.25">
      <c r="I194" t="str">
        <f t="shared" ref="I194:I257" si="9">IF(ISNUMBER(SEARCH("kirk",F194)),"Kirk",IF(ISNUMBER(SEARCH("justin",F194)),"Justin",IF(ISNUMBER(SEARCH("reyna",F194)),"Reyna","Unknown")))</f>
        <v>Unknown</v>
      </c>
      <c r="J194" t="str">
        <f t="shared" ref="J194:J257" si="10">IF(ISNUMBER(SEARCH("onboard",F194)),"Onboarded",IF(ISNUMBER(SEARCH("referr",F194)),"Referral",IF(ISNUMBER(SEARCH("transfer",F194)),"Transfer","Other")))</f>
        <v>Other</v>
      </c>
      <c r="K194" s="3">
        <f t="shared" ref="K194:K257" si="11">IF(AND(I194="Kirk",J194="Onboarded"),3,IF(AND(I194="Kirk",J194="Referral"),2,IF(AND(I194="Kirk",J194="Transfer"),2,IF(AND(I194="Justin",J194="Onboarded"),3,IF(AND(I194="Justin",J194="Referral"),2,IF(AND(I194="Justin",J194="Transfer"),2,IF(AND(I194="Reyna",J194="Onboarded"),3,IF(AND(I194="Reyna",J194="Referral"),2,IF(AND(I194="Reyna",J194="Transfer"),2,0)))))))))</f>
        <v>0</v>
      </c>
    </row>
    <row r="195" spans="9:11" x14ac:dyDescent="0.25">
      <c r="I195" t="str">
        <f t="shared" si="9"/>
        <v>Unknown</v>
      </c>
      <c r="J195" t="str">
        <f t="shared" si="10"/>
        <v>Other</v>
      </c>
      <c r="K195" s="3">
        <f t="shared" si="11"/>
        <v>0</v>
      </c>
    </row>
    <row r="196" spans="9:11" x14ac:dyDescent="0.25">
      <c r="I196" t="str">
        <f t="shared" si="9"/>
        <v>Unknown</v>
      </c>
      <c r="J196" t="str">
        <f t="shared" si="10"/>
        <v>Other</v>
      </c>
      <c r="K196" s="3">
        <f t="shared" si="11"/>
        <v>0</v>
      </c>
    </row>
    <row r="197" spans="9:11" x14ac:dyDescent="0.25">
      <c r="I197" t="str">
        <f t="shared" si="9"/>
        <v>Unknown</v>
      </c>
      <c r="J197" t="str">
        <f t="shared" si="10"/>
        <v>Other</v>
      </c>
      <c r="K197" s="3">
        <f t="shared" si="11"/>
        <v>0</v>
      </c>
    </row>
    <row r="198" spans="9:11" x14ac:dyDescent="0.25">
      <c r="I198" t="str">
        <f t="shared" si="9"/>
        <v>Unknown</v>
      </c>
      <c r="J198" t="str">
        <f t="shared" si="10"/>
        <v>Other</v>
      </c>
      <c r="K198" s="3">
        <f t="shared" si="11"/>
        <v>0</v>
      </c>
    </row>
    <row r="199" spans="9:11" x14ac:dyDescent="0.25">
      <c r="I199" t="str">
        <f t="shared" si="9"/>
        <v>Unknown</v>
      </c>
      <c r="J199" t="str">
        <f t="shared" si="10"/>
        <v>Other</v>
      </c>
      <c r="K199" s="3">
        <f t="shared" si="11"/>
        <v>0</v>
      </c>
    </row>
    <row r="200" spans="9:11" x14ac:dyDescent="0.25">
      <c r="I200" t="str">
        <f t="shared" si="9"/>
        <v>Unknown</v>
      </c>
      <c r="J200" t="str">
        <f t="shared" si="10"/>
        <v>Other</v>
      </c>
      <c r="K200" s="3">
        <f t="shared" si="11"/>
        <v>0</v>
      </c>
    </row>
    <row r="201" spans="9:11" x14ac:dyDescent="0.25">
      <c r="I201" t="str">
        <f t="shared" si="9"/>
        <v>Unknown</v>
      </c>
      <c r="J201" t="str">
        <f t="shared" si="10"/>
        <v>Other</v>
      </c>
      <c r="K201" s="3">
        <f t="shared" si="11"/>
        <v>0</v>
      </c>
    </row>
    <row r="202" spans="9:11" x14ac:dyDescent="0.25">
      <c r="I202" t="str">
        <f t="shared" si="9"/>
        <v>Unknown</v>
      </c>
      <c r="J202" t="str">
        <f t="shared" si="10"/>
        <v>Other</v>
      </c>
      <c r="K202" s="3">
        <f t="shared" si="11"/>
        <v>0</v>
      </c>
    </row>
    <row r="203" spans="9:11" x14ac:dyDescent="0.25">
      <c r="I203" t="str">
        <f t="shared" si="9"/>
        <v>Unknown</v>
      </c>
      <c r="J203" t="str">
        <f t="shared" si="10"/>
        <v>Other</v>
      </c>
      <c r="K203" s="3">
        <f t="shared" si="11"/>
        <v>0</v>
      </c>
    </row>
    <row r="204" spans="9:11" x14ac:dyDescent="0.25">
      <c r="I204" t="str">
        <f t="shared" si="9"/>
        <v>Unknown</v>
      </c>
      <c r="J204" t="str">
        <f t="shared" si="10"/>
        <v>Other</v>
      </c>
      <c r="K204" s="3">
        <f t="shared" si="11"/>
        <v>0</v>
      </c>
    </row>
    <row r="205" spans="9:11" x14ac:dyDescent="0.25">
      <c r="I205" t="str">
        <f t="shared" si="9"/>
        <v>Unknown</v>
      </c>
      <c r="J205" t="str">
        <f t="shared" si="10"/>
        <v>Other</v>
      </c>
      <c r="K205" s="3">
        <f t="shared" si="11"/>
        <v>0</v>
      </c>
    </row>
    <row r="206" spans="9:11" x14ac:dyDescent="0.25">
      <c r="I206" t="str">
        <f t="shared" si="9"/>
        <v>Unknown</v>
      </c>
      <c r="J206" t="str">
        <f t="shared" si="10"/>
        <v>Other</v>
      </c>
      <c r="K206" s="3">
        <f t="shared" si="11"/>
        <v>0</v>
      </c>
    </row>
    <row r="207" spans="9:11" x14ac:dyDescent="0.25">
      <c r="I207" t="str">
        <f t="shared" si="9"/>
        <v>Unknown</v>
      </c>
      <c r="J207" t="str">
        <f t="shared" si="10"/>
        <v>Other</v>
      </c>
      <c r="K207" s="3">
        <f t="shared" si="11"/>
        <v>0</v>
      </c>
    </row>
    <row r="208" spans="9:11" x14ac:dyDescent="0.25">
      <c r="I208" t="str">
        <f t="shared" si="9"/>
        <v>Unknown</v>
      </c>
      <c r="J208" t="str">
        <f t="shared" si="10"/>
        <v>Other</v>
      </c>
      <c r="K208" s="3">
        <f t="shared" si="11"/>
        <v>0</v>
      </c>
    </row>
    <row r="209" spans="9:11" x14ac:dyDescent="0.25">
      <c r="I209" t="str">
        <f t="shared" si="9"/>
        <v>Unknown</v>
      </c>
      <c r="J209" t="str">
        <f t="shared" si="10"/>
        <v>Other</v>
      </c>
      <c r="K209" s="3">
        <f t="shared" si="11"/>
        <v>0</v>
      </c>
    </row>
    <row r="210" spans="9:11" x14ac:dyDescent="0.25">
      <c r="I210" t="str">
        <f t="shared" si="9"/>
        <v>Unknown</v>
      </c>
      <c r="J210" t="str">
        <f t="shared" si="10"/>
        <v>Other</v>
      </c>
      <c r="K210" s="3">
        <f t="shared" si="11"/>
        <v>0</v>
      </c>
    </row>
    <row r="211" spans="9:11" x14ac:dyDescent="0.25">
      <c r="I211" t="str">
        <f t="shared" si="9"/>
        <v>Unknown</v>
      </c>
      <c r="J211" t="str">
        <f t="shared" si="10"/>
        <v>Other</v>
      </c>
      <c r="K211" s="3">
        <f t="shared" si="11"/>
        <v>0</v>
      </c>
    </row>
    <row r="212" spans="9:11" x14ac:dyDescent="0.25">
      <c r="I212" t="str">
        <f t="shared" si="9"/>
        <v>Unknown</v>
      </c>
      <c r="J212" t="str">
        <f t="shared" si="10"/>
        <v>Other</v>
      </c>
      <c r="K212" s="3">
        <f t="shared" si="11"/>
        <v>0</v>
      </c>
    </row>
    <row r="213" spans="9:11" x14ac:dyDescent="0.25">
      <c r="I213" t="str">
        <f t="shared" si="9"/>
        <v>Unknown</v>
      </c>
      <c r="J213" t="str">
        <f t="shared" si="10"/>
        <v>Other</v>
      </c>
      <c r="K213" s="3">
        <f t="shared" si="11"/>
        <v>0</v>
      </c>
    </row>
    <row r="214" spans="9:11" x14ac:dyDescent="0.25">
      <c r="I214" t="str">
        <f t="shared" si="9"/>
        <v>Unknown</v>
      </c>
      <c r="J214" t="str">
        <f t="shared" si="10"/>
        <v>Other</v>
      </c>
      <c r="K214" s="3">
        <f t="shared" si="11"/>
        <v>0</v>
      </c>
    </row>
    <row r="215" spans="9:11" x14ac:dyDescent="0.25">
      <c r="I215" t="str">
        <f t="shared" si="9"/>
        <v>Unknown</v>
      </c>
      <c r="J215" t="str">
        <f t="shared" si="10"/>
        <v>Other</v>
      </c>
      <c r="K215" s="3">
        <f t="shared" si="11"/>
        <v>0</v>
      </c>
    </row>
    <row r="216" spans="9:11" x14ac:dyDescent="0.25">
      <c r="I216" t="str">
        <f t="shared" si="9"/>
        <v>Unknown</v>
      </c>
      <c r="J216" t="str">
        <f t="shared" si="10"/>
        <v>Other</v>
      </c>
      <c r="K216" s="3">
        <f t="shared" si="11"/>
        <v>0</v>
      </c>
    </row>
    <row r="217" spans="9:11" x14ac:dyDescent="0.25">
      <c r="I217" t="str">
        <f t="shared" si="9"/>
        <v>Unknown</v>
      </c>
      <c r="J217" t="str">
        <f t="shared" si="10"/>
        <v>Other</v>
      </c>
      <c r="K217" s="3">
        <f t="shared" si="11"/>
        <v>0</v>
      </c>
    </row>
    <row r="218" spans="9:11" x14ac:dyDescent="0.25">
      <c r="I218" t="str">
        <f t="shared" si="9"/>
        <v>Unknown</v>
      </c>
      <c r="J218" t="str">
        <f t="shared" si="10"/>
        <v>Other</v>
      </c>
      <c r="K218" s="3">
        <f t="shared" si="11"/>
        <v>0</v>
      </c>
    </row>
    <row r="219" spans="9:11" x14ac:dyDescent="0.25">
      <c r="I219" t="str">
        <f t="shared" si="9"/>
        <v>Unknown</v>
      </c>
      <c r="J219" t="str">
        <f t="shared" si="10"/>
        <v>Other</v>
      </c>
      <c r="K219" s="3">
        <f t="shared" si="11"/>
        <v>0</v>
      </c>
    </row>
    <row r="220" spans="9:11" x14ac:dyDescent="0.25">
      <c r="I220" t="str">
        <f t="shared" si="9"/>
        <v>Unknown</v>
      </c>
      <c r="J220" t="str">
        <f t="shared" si="10"/>
        <v>Other</v>
      </c>
      <c r="K220" s="3">
        <f t="shared" si="11"/>
        <v>0</v>
      </c>
    </row>
    <row r="221" spans="9:11" x14ac:dyDescent="0.25">
      <c r="I221" t="str">
        <f t="shared" si="9"/>
        <v>Unknown</v>
      </c>
      <c r="J221" t="str">
        <f t="shared" si="10"/>
        <v>Other</v>
      </c>
      <c r="K221" s="3">
        <f t="shared" si="11"/>
        <v>0</v>
      </c>
    </row>
    <row r="222" spans="9:11" x14ac:dyDescent="0.25">
      <c r="I222" t="str">
        <f t="shared" si="9"/>
        <v>Unknown</v>
      </c>
      <c r="J222" t="str">
        <f t="shared" si="10"/>
        <v>Other</v>
      </c>
      <c r="K222" s="3">
        <f t="shared" si="11"/>
        <v>0</v>
      </c>
    </row>
    <row r="223" spans="9:11" x14ac:dyDescent="0.25">
      <c r="I223" t="str">
        <f t="shared" si="9"/>
        <v>Unknown</v>
      </c>
      <c r="J223" t="str">
        <f t="shared" si="10"/>
        <v>Other</v>
      </c>
      <c r="K223" s="3">
        <f t="shared" si="11"/>
        <v>0</v>
      </c>
    </row>
    <row r="224" spans="9:11" x14ac:dyDescent="0.25">
      <c r="I224" t="str">
        <f t="shared" si="9"/>
        <v>Unknown</v>
      </c>
      <c r="J224" t="str">
        <f t="shared" si="10"/>
        <v>Other</v>
      </c>
      <c r="K224" s="3">
        <f t="shared" si="11"/>
        <v>0</v>
      </c>
    </row>
    <row r="225" spans="9:11" x14ac:dyDescent="0.25">
      <c r="I225" t="str">
        <f t="shared" si="9"/>
        <v>Unknown</v>
      </c>
      <c r="J225" t="str">
        <f t="shared" si="10"/>
        <v>Other</v>
      </c>
      <c r="K225" s="3">
        <f t="shared" si="11"/>
        <v>0</v>
      </c>
    </row>
    <row r="226" spans="9:11" x14ac:dyDescent="0.25">
      <c r="I226" t="str">
        <f t="shared" si="9"/>
        <v>Unknown</v>
      </c>
      <c r="J226" t="str">
        <f t="shared" si="10"/>
        <v>Other</v>
      </c>
      <c r="K226" s="3">
        <f t="shared" si="11"/>
        <v>0</v>
      </c>
    </row>
    <row r="227" spans="9:11" x14ac:dyDescent="0.25">
      <c r="I227" t="str">
        <f t="shared" si="9"/>
        <v>Unknown</v>
      </c>
      <c r="J227" t="str">
        <f t="shared" si="10"/>
        <v>Other</v>
      </c>
      <c r="K227" s="3">
        <f t="shared" si="11"/>
        <v>0</v>
      </c>
    </row>
    <row r="228" spans="9:11" x14ac:dyDescent="0.25">
      <c r="I228" t="str">
        <f t="shared" si="9"/>
        <v>Unknown</v>
      </c>
      <c r="J228" t="str">
        <f t="shared" si="10"/>
        <v>Other</v>
      </c>
      <c r="K228" s="3">
        <f t="shared" si="11"/>
        <v>0</v>
      </c>
    </row>
    <row r="229" spans="9:11" x14ac:dyDescent="0.25">
      <c r="I229" t="str">
        <f t="shared" si="9"/>
        <v>Unknown</v>
      </c>
      <c r="J229" t="str">
        <f t="shared" si="10"/>
        <v>Other</v>
      </c>
      <c r="K229" s="3">
        <f t="shared" si="11"/>
        <v>0</v>
      </c>
    </row>
    <row r="230" spans="9:11" x14ac:dyDescent="0.25">
      <c r="I230" t="str">
        <f t="shared" si="9"/>
        <v>Unknown</v>
      </c>
      <c r="J230" t="str">
        <f t="shared" si="10"/>
        <v>Other</v>
      </c>
      <c r="K230" s="3">
        <f t="shared" si="11"/>
        <v>0</v>
      </c>
    </row>
    <row r="231" spans="9:11" x14ac:dyDescent="0.25">
      <c r="I231" t="str">
        <f t="shared" si="9"/>
        <v>Unknown</v>
      </c>
      <c r="J231" t="str">
        <f t="shared" si="10"/>
        <v>Other</v>
      </c>
      <c r="K231" s="3">
        <f t="shared" si="11"/>
        <v>0</v>
      </c>
    </row>
    <row r="232" spans="9:11" x14ac:dyDescent="0.25">
      <c r="I232" t="str">
        <f t="shared" si="9"/>
        <v>Unknown</v>
      </c>
      <c r="J232" t="str">
        <f t="shared" si="10"/>
        <v>Other</v>
      </c>
      <c r="K232" s="3">
        <f t="shared" si="11"/>
        <v>0</v>
      </c>
    </row>
    <row r="233" spans="9:11" x14ac:dyDescent="0.25">
      <c r="I233" t="str">
        <f t="shared" si="9"/>
        <v>Unknown</v>
      </c>
      <c r="J233" t="str">
        <f t="shared" si="10"/>
        <v>Other</v>
      </c>
      <c r="K233" s="3">
        <f t="shared" si="11"/>
        <v>0</v>
      </c>
    </row>
    <row r="234" spans="9:11" x14ac:dyDescent="0.25">
      <c r="I234" t="str">
        <f t="shared" si="9"/>
        <v>Unknown</v>
      </c>
      <c r="J234" t="str">
        <f t="shared" si="10"/>
        <v>Other</v>
      </c>
      <c r="K234" s="3">
        <f t="shared" si="11"/>
        <v>0</v>
      </c>
    </row>
    <row r="235" spans="9:11" x14ac:dyDescent="0.25">
      <c r="I235" t="str">
        <f t="shared" si="9"/>
        <v>Unknown</v>
      </c>
      <c r="J235" t="str">
        <f t="shared" si="10"/>
        <v>Other</v>
      </c>
      <c r="K235" s="3">
        <f t="shared" si="11"/>
        <v>0</v>
      </c>
    </row>
    <row r="236" spans="9:11" x14ac:dyDescent="0.25">
      <c r="I236" t="str">
        <f t="shared" si="9"/>
        <v>Unknown</v>
      </c>
      <c r="J236" t="str">
        <f t="shared" si="10"/>
        <v>Other</v>
      </c>
      <c r="K236" s="3">
        <f t="shared" si="11"/>
        <v>0</v>
      </c>
    </row>
    <row r="237" spans="9:11" x14ac:dyDescent="0.25">
      <c r="I237" t="str">
        <f t="shared" si="9"/>
        <v>Unknown</v>
      </c>
      <c r="J237" t="str">
        <f t="shared" si="10"/>
        <v>Other</v>
      </c>
      <c r="K237" s="3">
        <f t="shared" si="11"/>
        <v>0</v>
      </c>
    </row>
    <row r="238" spans="9:11" x14ac:dyDescent="0.25">
      <c r="I238" t="str">
        <f t="shared" si="9"/>
        <v>Unknown</v>
      </c>
      <c r="J238" t="str">
        <f t="shared" si="10"/>
        <v>Other</v>
      </c>
      <c r="K238" s="3">
        <f t="shared" si="11"/>
        <v>0</v>
      </c>
    </row>
    <row r="239" spans="9:11" x14ac:dyDescent="0.25">
      <c r="I239" t="str">
        <f t="shared" si="9"/>
        <v>Unknown</v>
      </c>
      <c r="J239" t="str">
        <f t="shared" si="10"/>
        <v>Other</v>
      </c>
      <c r="K239" s="3">
        <f t="shared" si="11"/>
        <v>0</v>
      </c>
    </row>
    <row r="240" spans="9:11" x14ac:dyDescent="0.25">
      <c r="I240" t="str">
        <f t="shared" si="9"/>
        <v>Unknown</v>
      </c>
      <c r="J240" t="str">
        <f t="shared" si="10"/>
        <v>Other</v>
      </c>
      <c r="K240" s="3">
        <f t="shared" si="11"/>
        <v>0</v>
      </c>
    </row>
    <row r="241" spans="9:11" x14ac:dyDescent="0.25">
      <c r="I241" t="str">
        <f t="shared" si="9"/>
        <v>Unknown</v>
      </c>
      <c r="J241" t="str">
        <f t="shared" si="10"/>
        <v>Other</v>
      </c>
      <c r="K241" s="3">
        <f t="shared" si="11"/>
        <v>0</v>
      </c>
    </row>
    <row r="242" spans="9:11" x14ac:dyDescent="0.25">
      <c r="I242" t="str">
        <f t="shared" si="9"/>
        <v>Unknown</v>
      </c>
      <c r="J242" t="str">
        <f t="shared" si="10"/>
        <v>Other</v>
      </c>
      <c r="K242" s="3">
        <f t="shared" si="11"/>
        <v>0</v>
      </c>
    </row>
    <row r="243" spans="9:11" x14ac:dyDescent="0.25">
      <c r="I243" t="str">
        <f t="shared" si="9"/>
        <v>Unknown</v>
      </c>
      <c r="J243" t="str">
        <f t="shared" si="10"/>
        <v>Other</v>
      </c>
      <c r="K243" s="3">
        <f t="shared" si="11"/>
        <v>0</v>
      </c>
    </row>
    <row r="244" spans="9:11" x14ac:dyDescent="0.25">
      <c r="I244" t="str">
        <f t="shared" si="9"/>
        <v>Unknown</v>
      </c>
      <c r="J244" t="str">
        <f t="shared" si="10"/>
        <v>Other</v>
      </c>
      <c r="K244" s="3">
        <f t="shared" si="11"/>
        <v>0</v>
      </c>
    </row>
    <row r="245" spans="9:11" x14ac:dyDescent="0.25">
      <c r="I245" t="str">
        <f t="shared" si="9"/>
        <v>Unknown</v>
      </c>
      <c r="J245" t="str">
        <f t="shared" si="10"/>
        <v>Other</v>
      </c>
      <c r="K245" s="3">
        <f t="shared" si="11"/>
        <v>0</v>
      </c>
    </row>
    <row r="246" spans="9:11" x14ac:dyDescent="0.25">
      <c r="I246" t="str">
        <f t="shared" si="9"/>
        <v>Unknown</v>
      </c>
      <c r="J246" t="str">
        <f t="shared" si="10"/>
        <v>Other</v>
      </c>
      <c r="K246" s="3">
        <f t="shared" si="11"/>
        <v>0</v>
      </c>
    </row>
    <row r="247" spans="9:11" x14ac:dyDescent="0.25">
      <c r="I247" t="str">
        <f t="shared" si="9"/>
        <v>Unknown</v>
      </c>
      <c r="J247" t="str">
        <f t="shared" si="10"/>
        <v>Other</v>
      </c>
      <c r="K247" s="3">
        <f t="shared" si="11"/>
        <v>0</v>
      </c>
    </row>
    <row r="248" spans="9:11" x14ac:dyDescent="0.25">
      <c r="I248" t="str">
        <f t="shared" si="9"/>
        <v>Unknown</v>
      </c>
      <c r="J248" t="str">
        <f t="shared" si="10"/>
        <v>Other</v>
      </c>
      <c r="K248" s="3">
        <f t="shared" si="11"/>
        <v>0</v>
      </c>
    </row>
    <row r="249" spans="9:11" x14ac:dyDescent="0.25">
      <c r="I249" t="str">
        <f t="shared" si="9"/>
        <v>Unknown</v>
      </c>
      <c r="J249" t="str">
        <f t="shared" si="10"/>
        <v>Other</v>
      </c>
      <c r="K249" s="3">
        <f t="shared" si="11"/>
        <v>0</v>
      </c>
    </row>
    <row r="250" spans="9:11" x14ac:dyDescent="0.25">
      <c r="I250" t="str">
        <f t="shared" si="9"/>
        <v>Unknown</v>
      </c>
      <c r="J250" t="str">
        <f t="shared" si="10"/>
        <v>Other</v>
      </c>
      <c r="K250" s="3">
        <f t="shared" si="11"/>
        <v>0</v>
      </c>
    </row>
    <row r="251" spans="9:11" x14ac:dyDescent="0.25">
      <c r="I251" t="str">
        <f t="shared" si="9"/>
        <v>Unknown</v>
      </c>
      <c r="J251" t="str">
        <f t="shared" si="10"/>
        <v>Other</v>
      </c>
      <c r="K251" s="3">
        <f t="shared" si="11"/>
        <v>0</v>
      </c>
    </row>
    <row r="252" spans="9:11" x14ac:dyDescent="0.25">
      <c r="I252" t="str">
        <f t="shared" si="9"/>
        <v>Unknown</v>
      </c>
      <c r="J252" t="str">
        <f t="shared" si="10"/>
        <v>Other</v>
      </c>
      <c r="K252" s="3">
        <f t="shared" si="11"/>
        <v>0</v>
      </c>
    </row>
    <row r="253" spans="9:11" x14ac:dyDescent="0.25">
      <c r="I253" t="str">
        <f t="shared" si="9"/>
        <v>Unknown</v>
      </c>
      <c r="J253" t="str">
        <f t="shared" si="10"/>
        <v>Other</v>
      </c>
      <c r="K253" s="3">
        <f t="shared" si="11"/>
        <v>0</v>
      </c>
    </row>
    <row r="254" spans="9:11" x14ac:dyDescent="0.25">
      <c r="I254" t="str">
        <f t="shared" si="9"/>
        <v>Unknown</v>
      </c>
      <c r="J254" t="str">
        <f t="shared" si="10"/>
        <v>Other</v>
      </c>
      <c r="K254" s="3">
        <f t="shared" si="11"/>
        <v>0</v>
      </c>
    </row>
    <row r="255" spans="9:11" x14ac:dyDescent="0.25">
      <c r="I255" t="str">
        <f t="shared" si="9"/>
        <v>Unknown</v>
      </c>
      <c r="J255" t="str">
        <f t="shared" si="10"/>
        <v>Other</v>
      </c>
      <c r="K255" s="3">
        <f t="shared" si="11"/>
        <v>0</v>
      </c>
    </row>
    <row r="256" spans="9:11" x14ac:dyDescent="0.25">
      <c r="I256" t="str">
        <f t="shared" si="9"/>
        <v>Unknown</v>
      </c>
      <c r="J256" t="str">
        <f t="shared" si="10"/>
        <v>Other</v>
      </c>
      <c r="K256" s="3">
        <f t="shared" si="11"/>
        <v>0</v>
      </c>
    </row>
    <row r="257" spans="9:11" x14ac:dyDescent="0.25">
      <c r="I257" t="str">
        <f t="shared" si="9"/>
        <v>Unknown</v>
      </c>
      <c r="J257" t="str">
        <f t="shared" si="10"/>
        <v>Other</v>
      </c>
      <c r="K257" s="3">
        <f t="shared" si="11"/>
        <v>0</v>
      </c>
    </row>
    <row r="258" spans="9:11" x14ac:dyDescent="0.25">
      <c r="I258" t="str">
        <f t="shared" ref="I258:I321" si="12">IF(ISNUMBER(SEARCH("kirk",F258)),"Kirk",IF(ISNUMBER(SEARCH("justin",F258)),"Justin",IF(ISNUMBER(SEARCH("reyna",F258)),"Reyna","Unknown")))</f>
        <v>Unknown</v>
      </c>
      <c r="J258" t="str">
        <f t="shared" ref="J258:J321" si="13">IF(ISNUMBER(SEARCH("onboard",F258)),"Onboarded",IF(ISNUMBER(SEARCH("referr",F258)),"Referral",IF(ISNUMBER(SEARCH("transfer",F258)),"Transfer","Other")))</f>
        <v>Other</v>
      </c>
      <c r="K258" s="3">
        <f t="shared" ref="K258:K321" si="14">IF(AND(I258="Kirk",J258="Onboarded"),3,IF(AND(I258="Kirk",J258="Referral"),2,IF(AND(I258="Kirk",J258="Transfer"),2,IF(AND(I258="Justin",J258="Onboarded"),3,IF(AND(I258="Justin",J258="Referral"),2,IF(AND(I258="Justin",J258="Transfer"),2,IF(AND(I258="Reyna",J258="Onboarded"),3,IF(AND(I258="Reyna",J258="Referral"),2,IF(AND(I258="Reyna",J258="Transfer"),2,0)))))))))</f>
        <v>0</v>
      </c>
    </row>
    <row r="259" spans="9:11" x14ac:dyDescent="0.25">
      <c r="I259" t="str">
        <f t="shared" si="12"/>
        <v>Unknown</v>
      </c>
      <c r="J259" t="str">
        <f t="shared" si="13"/>
        <v>Other</v>
      </c>
      <c r="K259" s="3">
        <f t="shared" si="14"/>
        <v>0</v>
      </c>
    </row>
    <row r="260" spans="9:11" x14ac:dyDescent="0.25">
      <c r="I260" t="str">
        <f t="shared" si="12"/>
        <v>Unknown</v>
      </c>
      <c r="J260" t="str">
        <f t="shared" si="13"/>
        <v>Other</v>
      </c>
      <c r="K260" s="3">
        <f t="shared" si="14"/>
        <v>0</v>
      </c>
    </row>
    <row r="261" spans="9:11" x14ac:dyDescent="0.25">
      <c r="I261" t="str">
        <f t="shared" si="12"/>
        <v>Unknown</v>
      </c>
      <c r="J261" t="str">
        <f t="shared" si="13"/>
        <v>Other</v>
      </c>
      <c r="K261" s="3">
        <f t="shared" si="14"/>
        <v>0</v>
      </c>
    </row>
    <row r="262" spans="9:11" x14ac:dyDescent="0.25">
      <c r="I262" t="str">
        <f t="shared" si="12"/>
        <v>Unknown</v>
      </c>
      <c r="J262" t="str">
        <f t="shared" si="13"/>
        <v>Other</v>
      </c>
      <c r="K262" s="3">
        <f t="shared" si="14"/>
        <v>0</v>
      </c>
    </row>
    <row r="263" spans="9:11" x14ac:dyDescent="0.25">
      <c r="I263" t="str">
        <f t="shared" si="12"/>
        <v>Unknown</v>
      </c>
      <c r="J263" t="str">
        <f t="shared" si="13"/>
        <v>Other</v>
      </c>
      <c r="K263" s="3">
        <f t="shared" si="14"/>
        <v>0</v>
      </c>
    </row>
    <row r="264" spans="9:11" x14ac:dyDescent="0.25">
      <c r="I264" t="str">
        <f t="shared" si="12"/>
        <v>Unknown</v>
      </c>
      <c r="J264" t="str">
        <f t="shared" si="13"/>
        <v>Other</v>
      </c>
      <c r="K264" s="3">
        <f t="shared" si="14"/>
        <v>0</v>
      </c>
    </row>
    <row r="265" spans="9:11" x14ac:dyDescent="0.25">
      <c r="I265" t="str">
        <f t="shared" si="12"/>
        <v>Unknown</v>
      </c>
      <c r="J265" t="str">
        <f t="shared" si="13"/>
        <v>Other</v>
      </c>
      <c r="K265" s="3">
        <f t="shared" si="14"/>
        <v>0</v>
      </c>
    </row>
    <row r="266" spans="9:11" x14ac:dyDescent="0.25">
      <c r="I266" t="str">
        <f t="shared" si="12"/>
        <v>Unknown</v>
      </c>
      <c r="J266" t="str">
        <f t="shared" si="13"/>
        <v>Other</v>
      </c>
      <c r="K266" s="3">
        <f t="shared" si="14"/>
        <v>0</v>
      </c>
    </row>
    <row r="267" spans="9:11" x14ac:dyDescent="0.25">
      <c r="I267" t="str">
        <f t="shared" si="12"/>
        <v>Unknown</v>
      </c>
      <c r="J267" t="str">
        <f t="shared" si="13"/>
        <v>Other</v>
      </c>
      <c r="K267" s="3">
        <f t="shared" si="14"/>
        <v>0</v>
      </c>
    </row>
    <row r="268" spans="9:11" x14ac:dyDescent="0.25">
      <c r="I268" t="str">
        <f t="shared" si="12"/>
        <v>Unknown</v>
      </c>
      <c r="J268" t="str">
        <f t="shared" si="13"/>
        <v>Other</v>
      </c>
      <c r="K268" s="3">
        <f t="shared" si="14"/>
        <v>0</v>
      </c>
    </row>
    <row r="269" spans="9:11" x14ac:dyDescent="0.25">
      <c r="I269" t="str">
        <f t="shared" si="12"/>
        <v>Unknown</v>
      </c>
      <c r="J269" t="str">
        <f t="shared" si="13"/>
        <v>Other</v>
      </c>
      <c r="K269" s="3">
        <f t="shared" si="14"/>
        <v>0</v>
      </c>
    </row>
    <row r="270" spans="9:11" x14ac:dyDescent="0.25">
      <c r="I270" t="str">
        <f t="shared" si="12"/>
        <v>Unknown</v>
      </c>
      <c r="J270" t="str">
        <f t="shared" si="13"/>
        <v>Other</v>
      </c>
      <c r="K270" s="3">
        <f t="shared" si="14"/>
        <v>0</v>
      </c>
    </row>
    <row r="271" spans="9:11" x14ac:dyDescent="0.25">
      <c r="I271" t="str">
        <f t="shared" si="12"/>
        <v>Unknown</v>
      </c>
      <c r="J271" t="str">
        <f t="shared" si="13"/>
        <v>Other</v>
      </c>
      <c r="K271" s="3">
        <f t="shared" si="14"/>
        <v>0</v>
      </c>
    </row>
    <row r="272" spans="9:11" x14ac:dyDescent="0.25">
      <c r="I272" t="str">
        <f t="shared" si="12"/>
        <v>Unknown</v>
      </c>
      <c r="J272" t="str">
        <f t="shared" si="13"/>
        <v>Other</v>
      </c>
      <c r="K272" s="3">
        <f t="shared" si="14"/>
        <v>0</v>
      </c>
    </row>
    <row r="273" spans="9:11" x14ac:dyDescent="0.25">
      <c r="I273" t="str">
        <f t="shared" si="12"/>
        <v>Unknown</v>
      </c>
      <c r="J273" t="str">
        <f t="shared" si="13"/>
        <v>Other</v>
      </c>
      <c r="K273" s="3">
        <f t="shared" si="14"/>
        <v>0</v>
      </c>
    </row>
    <row r="274" spans="9:11" x14ac:dyDescent="0.25">
      <c r="I274" t="str">
        <f t="shared" si="12"/>
        <v>Unknown</v>
      </c>
      <c r="J274" t="str">
        <f t="shared" si="13"/>
        <v>Other</v>
      </c>
      <c r="K274" s="3">
        <f t="shared" si="14"/>
        <v>0</v>
      </c>
    </row>
    <row r="275" spans="9:11" x14ac:dyDescent="0.25">
      <c r="I275" t="str">
        <f t="shared" si="12"/>
        <v>Unknown</v>
      </c>
      <c r="J275" t="str">
        <f t="shared" si="13"/>
        <v>Other</v>
      </c>
      <c r="K275" s="3">
        <f t="shared" si="14"/>
        <v>0</v>
      </c>
    </row>
    <row r="276" spans="9:11" x14ac:dyDescent="0.25">
      <c r="I276" t="str">
        <f t="shared" si="12"/>
        <v>Unknown</v>
      </c>
      <c r="J276" t="str">
        <f t="shared" si="13"/>
        <v>Other</v>
      </c>
      <c r="K276" s="3">
        <f t="shared" si="14"/>
        <v>0</v>
      </c>
    </row>
    <row r="277" spans="9:11" x14ac:dyDescent="0.25">
      <c r="I277" t="str">
        <f t="shared" si="12"/>
        <v>Unknown</v>
      </c>
      <c r="J277" t="str">
        <f t="shared" si="13"/>
        <v>Other</v>
      </c>
      <c r="K277" s="3">
        <f t="shared" si="14"/>
        <v>0</v>
      </c>
    </row>
    <row r="278" spans="9:11" x14ac:dyDescent="0.25">
      <c r="I278" t="str">
        <f t="shared" si="12"/>
        <v>Unknown</v>
      </c>
      <c r="J278" t="str">
        <f t="shared" si="13"/>
        <v>Other</v>
      </c>
      <c r="K278" s="3">
        <f t="shared" si="14"/>
        <v>0</v>
      </c>
    </row>
    <row r="279" spans="9:11" x14ac:dyDescent="0.25">
      <c r="I279" t="str">
        <f t="shared" si="12"/>
        <v>Unknown</v>
      </c>
      <c r="J279" t="str">
        <f t="shared" si="13"/>
        <v>Other</v>
      </c>
      <c r="K279" s="3">
        <f t="shared" si="14"/>
        <v>0</v>
      </c>
    </row>
    <row r="280" spans="9:11" x14ac:dyDescent="0.25">
      <c r="I280" t="str">
        <f t="shared" si="12"/>
        <v>Unknown</v>
      </c>
      <c r="J280" t="str">
        <f t="shared" si="13"/>
        <v>Other</v>
      </c>
      <c r="K280" s="3">
        <f t="shared" si="14"/>
        <v>0</v>
      </c>
    </row>
    <row r="281" spans="9:11" x14ac:dyDescent="0.25">
      <c r="I281" t="str">
        <f t="shared" si="12"/>
        <v>Unknown</v>
      </c>
      <c r="J281" t="str">
        <f t="shared" si="13"/>
        <v>Other</v>
      </c>
      <c r="K281" s="3">
        <f t="shared" si="14"/>
        <v>0</v>
      </c>
    </row>
    <row r="282" spans="9:11" x14ac:dyDescent="0.25">
      <c r="I282" t="str">
        <f t="shared" si="12"/>
        <v>Unknown</v>
      </c>
      <c r="J282" t="str">
        <f t="shared" si="13"/>
        <v>Other</v>
      </c>
      <c r="K282" s="3">
        <f t="shared" si="14"/>
        <v>0</v>
      </c>
    </row>
    <row r="283" spans="9:11" x14ac:dyDescent="0.25">
      <c r="I283" t="str">
        <f t="shared" si="12"/>
        <v>Unknown</v>
      </c>
      <c r="J283" t="str">
        <f t="shared" si="13"/>
        <v>Other</v>
      </c>
      <c r="K283" s="3">
        <f t="shared" si="14"/>
        <v>0</v>
      </c>
    </row>
    <row r="284" spans="9:11" x14ac:dyDescent="0.25">
      <c r="I284" t="str">
        <f t="shared" si="12"/>
        <v>Unknown</v>
      </c>
      <c r="J284" t="str">
        <f t="shared" si="13"/>
        <v>Other</v>
      </c>
      <c r="K284" s="3">
        <f t="shared" si="14"/>
        <v>0</v>
      </c>
    </row>
    <row r="285" spans="9:11" x14ac:dyDescent="0.25">
      <c r="I285" t="str">
        <f t="shared" si="12"/>
        <v>Unknown</v>
      </c>
      <c r="J285" t="str">
        <f t="shared" si="13"/>
        <v>Other</v>
      </c>
      <c r="K285" s="3">
        <f t="shared" si="14"/>
        <v>0</v>
      </c>
    </row>
    <row r="286" spans="9:11" x14ac:dyDescent="0.25">
      <c r="I286" t="str">
        <f t="shared" si="12"/>
        <v>Unknown</v>
      </c>
      <c r="J286" t="str">
        <f t="shared" si="13"/>
        <v>Other</v>
      </c>
      <c r="K286" s="3">
        <f t="shared" si="14"/>
        <v>0</v>
      </c>
    </row>
    <row r="287" spans="9:11" x14ac:dyDescent="0.25">
      <c r="I287" t="str">
        <f t="shared" si="12"/>
        <v>Unknown</v>
      </c>
      <c r="J287" t="str">
        <f t="shared" si="13"/>
        <v>Other</v>
      </c>
      <c r="K287" s="3">
        <f t="shared" si="14"/>
        <v>0</v>
      </c>
    </row>
    <row r="288" spans="9:11" x14ac:dyDescent="0.25">
      <c r="I288" t="str">
        <f t="shared" si="12"/>
        <v>Unknown</v>
      </c>
      <c r="J288" t="str">
        <f t="shared" si="13"/>
        <v>Other</v>
      </c>
      <c r="K288" s="3">
        <f t="shared" si="14"/>
        <v>0</v>
      </c>
    </row>
    <row r="289" spans="9:11" x14ac:dyDescent="0.25">
      <c r="I289" t="str">
        <f t="shared" si="12"/>
        <v>Unknown</v>
      </c>
      <c r="J289" t="str">
        <f t="shared" si="13"/>
        <v>Other</v>
      </c>
      <c r="K289" s="3">
        <f t="shared" si="14"/>
        <v>0</v>
      </c>
    </row>
    <row r="290" spans="9:11" x14ac:dyDescent="0.25">
      <c r="I290" t="str">
        <f t="shared" si="12"/>
        <v>Unknown</v>
      </c>
      <c r="J290" t="str">
        <f t="shared" si="13"/>
        <v>Other</v>
      </c>
      <c r="K290" s="3">
        <f t="shared" si="14"/>
        <v>0</v>
      </c>
    </row>
    <row r="291" spans="9:11" x14ac:dyDescent="0.25">
      <c r="I291" t="str">
        <f t="shared" si="12"/>
        <v>Unknown</v>
      </c>
      <c r="J291" t="str">
        <f t="shared" si="13"/>
        <v>Other</v>
      </c>
      <c r="K291" s="3">
        <f t="shared" si="14"/>
        <v>0</v>
      </c>
    </row>
    <row r="292" spans="9:11" x14ac:dyDescent="0.25">
      <c r="I292" t="str">
        <f t="shared" si="12"/>
        <v>Unknown</v>
      </c>
      <c r="J292" t="str">
        <f t="shared" si="13"/>
        <v>Other</v>
      </c>
      <c r="K292" s="3">
        <f t="shared" si="14"/>
        <v>0</v>
      </c>
    </row>
    <row r="293" spans="9:11" x14ac:dyDescent="0.25">
      <c r="I293" t="str">
        <f t="shared" si="12"/>
        <v>Unknown</v>
      </c>
      <c r="J293" t="str">
        <f t="shared" si="13"/>
        <v>Other</v>
      </c>
      <c r="K293" s="3">
        <f t="shared" si="14"/>
        <v>0</v>
      </c>
    </row>
    <row r="294" spans="9:11" x14ac:dyDescent="0.25">
      <c r="I294" t="str">
        <f t="shared" si="12"/>
        <v>Unknown</v>
      </c>
      <c r="J294" t="str">
        <f t="shared" si="13"/>
        <v>Other</v>
      </c>
      <c r="K294" s="3">
        <f t="shared" si="14"/>
        <v>0</v>
      </c>
    </row>
    <row r="295" spans="9:11" x14ac:dyDescent="0.25">
      <c r="I295" t="str">
        <f t="shared" si="12"/>
        <v>Unknown</v>
      </c>
      <c r="J295" t="str">
        <f t="shared" si="13"/>
        <v>Other</v>
      </c>
      <c r="K295" s="3">
        <f t="shared" si="14"/>
        <v>0</v>
      </c>
    </row>
    <row r="296" spans="9:11" x14ac:dyDescent="0.25">
      <c r="I296" t="str">
        <f t="shared" si="12"/>
        <v>Unknown</v>
      </c>
      <c r="J296" t="str">
        <f t="shared" si="13"/>
        <v>Other</v>
      </c>
      <c r="K296" s="3">
        <f t="shared" si="14"/>
        <v>0</v>
      </c>
    </row>
    <row r="297" spans="9:11" x14ac:dyDescent="0.25">
      <c r="I297" t="str">
        <f t="shared" si="12"/>
        <v>Unknown</v>
      </c>
      <c r="J297" t="str">
        <f t="shared" si="13"/>
        <v>Other</v>
      </c>
      <c r="K297" s="3">
        <f t="shared" si="14"/>
        <v>0</v>
      </c>
    </row>
    <row r="298" spans="9:11" x14ac:dyDescent="0.25">
      <c r="I298" t="str">
        <f t="shared" si="12"/>
        <v>Unknown</v>
      </c>
      <c r="J298" t="str">
        <f t="shared" si="13"/>
        <v>Other</v>
      </c>
      <c r="K298" s="3">
        <f t="shared" si="14"/>
        <v>0</v>
      </c>
    </row>
    <row r="299" spans="9:11" x14ac:dyDescent="0.25">
      <c r="I299" t="str">
        <f t="shared" si="12"/>
        <v>Unknown</v>
      </c>
      <c r="J299" t="str">
        <f t="shared" si="13"/>
        <v>Other</v>
      </c>
      <c r="K299" s="3">
        <f t="shared" si="14"/>
        <v>0</v>
      </c>
    </row>
    <row r="300" spans="9:11" x14ac:dyDescent="0.25">
      <c r="I300" t="str">
        <f t="shared" si="12"/>
        <v>Unknown</v>
      </c>
      <c r="J300" t="str">
        <f t="shared" si="13"/>
        <v>Other</v>
      </c>
      <c r="K300" s="3">
        <f t="shared" si="14"/>
        <v>0</v>
      </c>
    </row>
    <row r="301" spans="9:11" x14ac:dyDescent="0.25">
      <c r="I301" t="str">
        <f t="shared" si="12"/>
        <v>Unknown</v>
      </c>
      <c r="J301" t="str">
        <f t="shared" si="13"/>
        <v>Other</v>
      </c>
      <c r="K301" s="3">
        <f t="shared" si="14"/>
        <v>0</v>
      </c>
    </row>
    <row r="302" spans="9:11" x14ac:dyDescent="0.25">
      <c r="I302" t="str">
        <f t="shared" si="12"/>
        <v>Unknown</v>
      </c>
      <c r="J302" t="str">
        <f t="shared" si="13"/>
        <v>Other</v>
      </c>
      <c r="K302" s="3">
        <f t="shared" si="14"/>
        <v>0</v>
      </c>
    </row>
    <row r="303" spans="9:11" x14ac:dyDescent="0.25">
      <c r="I303" t="str">
        <f t="shared" si="12"/>
        <v>Unknown</v>
      </c>
      <c r="J303" t="str">
        <f t="shared" si="13"/>
        <v>Other</v>
      </c>
      <c r="K303" s="3">
        <f t="shared" si="14"/>
        <v>0</v>
      </c>
    </row>
    <row r="304" spans="9:11" x14ac:dyDescent="0.25">
      <c r="I304" t="str">
        <f t="shared" si="12"/>
        <v>Unknown</v>
      </c>
      <c r="J304" t="str">
        <f t="shared" si="13"/>
        <v>Other</v>
      </c>
      <c r="K304" s="3">
        <f t="shared" si="14"/>
        <v>0</v>
      </c>
    </row>
    <row r="305" spans="9:11" x14ac:dyDescent="0.25">
      <c r="I305" t="str">
        <f t="shared" si="12"/>
        <v>Unknown</v>
      </c>
      <c r="J305" t="str">
        <f t="shared" si="13"/>
        <v>Other</v>
      </c>
      <c r="K305" s="3">
        <f t="shared" si="14"/>
        <v>0</v>
      </c>
    </row>
    <row r="306" spans="9:11" x14ac:dyDescent="0.25">
      <c r="I306" t="str">
        <f t="shared" si="12"/>
        <v>Unknown</v>
      </c>
      <c r="J306" t="str">
        <f t="shared" si="13"/>
        <v>Other</v>
      </c>
      <c r="K306" s="3">
        <f t="shared" si="14"/>
        <v>0</v>
      </c>
    </row>
    <row r="307" spans="9:11" x14ac:dyDescent="0.25">
      <c r="I307" t="str">
        <f t="shared" si="12"/>
        <v>Unknown</v>
      </c>
      <c r="J307" t="str">
        <f t="shared" si="13"/>
        <v>Other</v>
      </c>
      <c r="K307" s="3">
        <f t="shared" si="14"/>
        <v>0</v>
      </c>
    </row>
    <row r="308" spans="9:11" x14ac:dyDescent="0.25">
      <c r="I308" t="str">
        <f t="shared" si="12"/>
        <v>Unknown</v>
      </c>
      <c r="J308" t="str">
        <f t="shared" si="13"/>
        <v>Other</v>
      </c>
      <c r="K308" s="3">
        <f t="shared" si="14"/>
        <v>0</v>
      </c>
    </row>
    <row r="309" spans="9:11" x14ac:dyDescent="0.25">
      <c r="I309" t="str">
        <f t="shared" si="12"/>
        <v>Unknown</v>
      </c>
      <c r="J309" t="str">
        <f t="shared" si="13"/>
        <v>Other</v>
      </c>
      <c r="K309" s="3">
        <f t="shared" si="14"/>
        <v>0</v>
      </c>
    </row>
    <row r="310" spans="9:11" x14ac:dyDescent="0.25">
      <c r="I310" t="str">
        <f t="shared" si="12"/>
        <v>Unknown</v>
      </c>
      <c r="J310" t="str">
        <f t="shared" si="13"/>
        <v>Other</v>
      </c>
      <c r="K310" s="3">
        <f t="shared" si="14"/>
        <v>0</v>
      </c>
    </row>
    <row r="311" spans="9:11" x14ac:dyDescent="0.25">
      <c r="I311" t="str">
        <f t="shared" si="12"/>
        <v>Unknown</v>
      </c>
      <c r="J311" t="str">
        <f t="shared" si="13"/>
        <v>Other</v>
      </c>
      <c r="K311" s="3">
        <f t="shared" si="14"/>
        <v>0</v>
      </c>
    </row>
    <row r="312" spans="9:11" x14ac:dyDescent="0.25">
      <c r="I312" t="str">
        <f t="shared" si="12"/>
        <v>Unknown</v>
      </c>
      <c r="J312" t="str">
        <f t="shared" si="13"/>
        <v>Other</v>
      </c>
      <c r="K312" s="3">
        <f t="shared" si="14"/>
        <v>0</v>
      </c>
    </row>
    <row r="313" spans="9:11" x14ac:dyDescent="0.25">
      <c r="I313" t="str">
        <f t="shared" si="12"/>
        <v>Unknown</v>
      </c>
      <c r="J313" t="str">
        <f t="shared" si="13"/>
        <v>Other</v>
      </c>
      <c r="K313" s="3">
        <f t="shared" si="14"/>
        <v>0</v>
      </c>
    </row>
    <row r="314" spans="9:11" x14ac:dyDescent="0.25">
      <c r="I314" t="str">
        <f t="shared" si="12"/>
        <v>Unknown</v>
      </c>
      <c r="J314" t="str">
        <f t="shared" si="13"/>
        <v>Other</v>
      </c>
      <c r="K314" s="3">
        <f t="shared" si="14"/>
        <v>0</v>
      </c>
    </row>
    <row r="315" spans="9:11" x14ac:dyDescent="0.25">
      <c r="I315" t="str">
        <f t="shared" si="12"/>
        <v>Unknown</v>
      </c>
      <c r="J315" t="str">
        <f t="shared" si="13"/>
        <v>Other</v>
      </c>
      <c r="K315" s="3">
        <f t="shared" si="14"/>
        <v>0</v>
      </c>
    </row>
    <row r="316" spans="9:11" x14ac:dyDescent="0.25">
      <c r="I316" t="str">
        <f t="shared" si="12"/>
        <v>Unknown</v>
      </c>
      <c r="J316" t="str">
        <f t="shared" si="13"/>
        <v>Other</v>
      </c>
      <c r="K316" s="3">
        <f t="shared" si="14"/>
        <v>0</v>
      </c>
    </row>
    <row r="317" spans="9:11" x14ac:dyDescent="0.25">
      <c r="I317" t="str">
        <f t="shared" si="12"/>
        <v>Unknown</v>
      </c>
      <c r="J317" t="str">
        <f t="shared" si="13"/>
        <v>Other</v>
      </c>
      <c r="K317" s="3">
        <f t="shared" si="14"/>
        <v>0</v>
      </c>
    </row>
    <row r="318" spans="9:11" x14ac:dyDescent="0.25">
      <c r="I318" t="str">
        <f t="shared" si="12"/>
        <v>Unknown</v>
      </c>
      <c r="J318" t="str">
        <f t="shared" si="13"/>
        <v>Other</v>
      </c>
      <c r="K318" s="3">
        <f t="shared" si="14"/>
        <v>0</v>
      </c>
    </row>
    <row r="319" spans="9:11" x14ac:dyDescent="0.25">
      <c r="I319" t="str">
        <f t="shared" si="12"/>
        <v>Unknown</v>
      </c>
      <c r="J319" t="str">
        <f t="shared" si="13"/>
        <v>Other</v>
      </c>
      <c r="K319" s="3">
        <f t="shared" si="14"/>
        <v>0</v>
      </c>
    </row>
    <row r="320" spans="9:11" x14ac:dyDescent="0.25">
      <c r="I320" t="str">
        <f t="shared" si="12"/>
        <v>Unknown</v>
      </c>
      <c r="J320" t="str">
        <f t="shared" si="13"/>
        <v>Other</v>
      </c>
      <c r="K320" s="3">
        <f t="shared" si="14"/>
        <v>0</v>
      </c>
    </row>
    <row r="321" spans="9:11" x14ac:dyDescent="0.25">
      <c r="I321" t="str">
        <f t="shared" si="12"/>
        <v>Unknown</v>
      </c>
      <c r="J321" t="str">
        <f t="shared" si="13"/>
        <v>Other</v>
      </c>
      <c r="K321" s="3">
        <f t="shared" si="14"/>
        <v>0</v>
      </c>
    </row>
    <row r="322" spans="9:11" x14ac:dyDescent="0.25">
      <c r="I322" t="str">
        <f t="shared" ref="I322:I385" si="15">IF(ISNUMBER(SEARCH("kirk",F322)),"Kirk",IF(ISNUMBER(SEARCH("justin",F322)),"Justin",IF(ISNUMBER(SEARCH("reyna",F322)),"Reyna","Unknown")))</f>
        <v>Unknown</v>
      </c>
      <c r="J322" t="str">
        <f t="shared" ref="J322:J385" si="16">IF(ISNUMBER(SEARCH("onboard",F322)),"Onboarded",IF(ISNUMBER(SEARCH("referr",F322)),"Referral",IF(ISNUMBER(SEARCH("transfer",F322)),"Transfer","Other")))</f>
        <v>Other</v>
      </c>
      <c r="K322" s="3">
        <f t="shared" ref="K322:K385" si="17">IF(AND(I322="Kirk",J322="Onboarded"),3,IF(AND(I322="Kirk",J322="Referral"),2,IF(AND(I322="Kirk",J322="Transfer"),2,IF(AND(I322="Justin",J322="Onboarded"),3,IF(AND(I322="Justin",J322="Referral"),2,IF(AND(I322="Justin",J322="Transfer"),2,IF(AND(I322="Reyna",J322="Onboarded"),3,IF(AND(I322="Reyna",J322="Referral"),2,IF(AND(I322="Reyna",J322="Transfer"),2,0)))))))))</f>
        <v>0</v>
      </c>
    </row>
    <row r="323" spans="9:11" x14ac:dyDescent="0.25">
      <c r="I323" t="str">
        <f t="shared" si="15"/>
        <v>Unknown</v>
      </c>
      <c r="J323" t="str">
        <f t="shared" si="16"/>
        <v>Other</v>
      </c>
      <c r="K323" s="3">
        <f t="shared" si="17"/>
        <v>0</v>
      </c>
    </row>
    <row r="324" spans="9:11" x14ac:dyDescent="0.25">
      <c r="I324" t="str">
        <f t="shared" si="15"/>
        <v>Unknown</v>
      </c>
      <c r="J324" t="str">
        <f t="shared" si="16"/>
        <v>Other</v>
      </c>
      <c r="K324" s="3">
        <f t="shared" si="17"/>
        <v>0</v>
      </c>
    </row>
    <row r="325" spans="9:11" x14ac:dyDescent="0.25">
      <c r="I325" t="str">
        <f t="shared" si="15"/>
        <v>Unknown</v>
      </c>
      <c r="J325" t="str">
        <f t="shared" si="16"/>
        <v>Other</v>
      </c>
      <c r="K325" s="3">
        <f t="shared" si="17"/>
        <v>0</v>
      </c>
    </row>
    <row r="326" spans="9:11" x14ac:dyDescent="0.25">
      <c r="I326" t="str">
        <f t="shared" si="15"/>
        <v>Unknown</v>
      </c>
      <c r="J326" t="str">
        <f t="shared" si="16"/>
        <v>Other</v>
      </c>
      <c r="K326" s="3">
        <f t="shared" si="17"/>
        <v>0</v>
      </c>
    </row>
    <row r="327" spans="9:11" x14ac:dyDescent="0.25">
      <c r="I327" t="str">
        <f t="shared" si="15"/>
        <v>Unknown</v>
      </c>
      <c r="J327" t="str">
        <f t="shared" si="16"/>
        <v>Other</v>
      </c>
      <c r="K327" s="3">
        <f t="shared" si="17"/>
        <v>0</v>
      </c>
    </row>
    <row r="328" spans="9:11" x14ac:dyDescent="0.25">
      <c r="I328" t="str">
        <f t="shared" si="15"/>
        <v>Unknown</v>
      </c>
      <c r="J328" t="str">
        <f t="shared" si="16"/>
        <v>Other</v>
      </c>
      <c r="K328" s="3">
        <f t="shared" si="17"/>
        <v>0</v>
      </c>
    </row>
    <row r="329" spans="9:11" x14ac:dyDescent="0.25">
      <c r="I329" t="str">
        <f t="shared" si="15"/>
        <v>Unknown</v>
      </c>
      <c r="J329" t="str">
        <f t="shared" si="16"/>
        <v>Other</v>
      </c>
      <c r="K329" s="3">
        <f t="shared" si="17"/>
        <v>0</v>
      </c>
    </row>
    <row r="330" spans="9:11" x14ac:dyDescent="0.25">
      <c r="I330" t="str">
        <f t="shared" si="15"/>
        <v>Unknown</v>
      </c>
      <c r="J330" t="str">
        <f t="shared" si="16"/>
        <v>Other</v>
      </c>
      <c r="K330" s="3">
        <f t="shared" si="17"/>
        <v>0</v>
      </c>
    </row>
    <row r="331" spans="9:11" x14ac:dyDescent="0.25">
      <c r="I331" t="str">
        <f t="shared" si="15"/>
        <v>Unknown</v>
      </c>
      <c r="J331" t="str">
        <f t="shared" si="16"/>
        <v>Other</v>
      </c>
      <c r="K331" s="3">
        <f t="shared" si="17"/>
        <v>0</v>
      </c>
    </row>
    <row r="332" spans="9:11" x14ac:dyDescent="0.25">
      <c r="I332" t="str">
        <f t="shared" si="15"/>
        <v>Unknown</v>
      </c>
      <c r="J332" t="str">
        <f t="shared" si="16"/>
        <v>Other</v>
      </c>
      <c r="K332" s="3">
        <f t="shared" si="17"/>
        <v>0</v>
      </c>
    </row>
    <row r="333" spans="9:11" x14ac:dyDescent="0.25">
      <c r="I333" t="str">
        <f t="shared" si="15"/>
        <v>Unknown</v>
      </c>
      <c r="J333" t="str">
        <f t="shared" si="16"/>
        <v>Other</v>
      </c>
      <c r="K333" s="3">
        <f t="shared" si="17"/>
        <v>0</v>
      </c>
    </row>
    <row r="334" spans="9:11" x14ac:dyDescent="0.25">
      <c r="I334" t="str">
        <f t="shared" si="15"/>
        <v>Unknown</v>
      </c>
      <c r="J334" t="str">
        <f t="shared" si="16"/>
        <v>Other</v>
      </c>
      <c r="K334" s="3">
        <f t="shared" si="17"/>
        <v>0</v>
      </c>
    </row>
    <row r="335" spans="9:11" x14ac:dyDescent="0.25">
      <c r="I335" t="str">
        <f t="shared" si="15"/>
        <v>Unknown</v>
      </c>
      <c r="J335" t="str">
        <f t="shared" si="16"/>
        <v>Other</v>
      </c>
      <c r="K335" s="3">
        <f t="shared" si="17"/>
        <v>0</v>
      </c>
    </row>
    <row r="336" spans="9:11" x14ac:dyDescent="0.25">
      <c r="I336" t="str">
        <f t="shared" si="15"/>
        <v>Unknown</v>
      </c>
      <c r="J336" t="str">
        <f t="shared" si="16"/>
        <v>Other</v>
      </c>
      <c r="K336" s="3">
        <f t="shared" si="17"/>
        <v>0</v>
      </c>
    </row>
    <row r="337" spans="9:11" x14ac:dyDescent="0.25">
      <c r="I337" t="str">
        <f t="shared" si="15"/>
        <v>Unknown</v>
      </c>
      <c r="J337" t="str">
        <f t="shared" si="16"/>
        <v>Other</v>
      </c>
      <c r="K337" s="3">
        <f t="shared" si="17"/>
        <v>0</v>
      </c>
    </row>
    <row r="338" spans="9:11" x14ac:dyDescent="0.25">
      <c r="I338" t="str">
        <f t="shared" si="15"/>
        <v>Unknown</v>
      </c>
      <c r="J338" t="str">
        <f t="shared" si="16"/>
        <v>Other</v>
      </c>
      <c r="K338" s="3">
        <f t="shared" si="17"/>
        <v>0</v>
      </c>
    </row>
    <row r="339" spans="9:11" x14ac:dyDescent="0.25">
      <c r="I339" t="str">
        <f t="shared" si="15"/>
        <v>Unknown</v>
      </c>
      <c r="J339" t="str">
        <f t="shared" si="16"/>
        <v>Other</v>
      </c>
      <c r="K339" s="3">
        <f t="shared" si="17"/>
        <v>0</v>
      </c>
    </row>
    <row r="340" spans="9:11" x14ac:dyDescent="0.25">
      <c r="I340" t="str">
        <f t="shared" si="15"/>
        <v>Unknown</v>
      </c>
      <c r="J340" t="str">
        <f t="shared" si="16"/>
        <v>Other</v>
      </c>
      <c r="K340" s="3">
        <f t="shared" si="17"/>
        <v>0</v>
      </c>
    </row>
    <row r="341" spans="9:11" x14ac:dyDescent="0.25">
      <c r="I341" t="str">
        <f t="shared" si="15"/>
        <v>Unknown</v>
      </c>
      <c r="J341" t="str">
        <f t="shared" si="16"/>
        <v>Other</v>
      </c>
      <c r="K341" s="3">
        <f t="shared" si="17"/>
        <v>0</v>
      </c>
    </row>
    <row r="342" spans="9:11" x14ac:dyDescent="0.25">
      <c r="I342" t="str">
        <f t="shared" si="15"/>
        <v>Unknown</v>
      </c>
      <c r="J342" t="str">
        <f t="shared" si="16"/>
        <v>Other</v>
      </c>
      <c r="K342" s="3">
        <f t="shared" si="17"/>
        <v>0</v>
      </c>
    </row>
    <row r="343" spans="9:11" x14ac:dyDescent="0.25">
      <c r="I343" t="str">
        <f t="shared" si="15"/>
        <v>Unknown</v>
      </c>
      <c r="J343" t="str">
        <f t="shared" si="16"/>
        <v>Other</v>
      </c>
      <c r="K343" s="3">
        <f t="shared" si="17"/>
        <v>0</v>
      </c>
    </row>
    <row r="344" spans="9:11" x14ac:dyDescent="0.25">
      <c r="I344" t="str">
        <f t="shared" si="15"/>
        <v>Unknown</v>
      </c>
      <c r="J344" t="str">
        <f t="shared" si="16"/>
        <v>Other</v>
      </c>
      <c r="K344" s="3">
        <f t="shared" si="17"/>
        <v>0</v>
      </c>
    </row>
    <row r="345" spans="9:11" x14ac:dyDescent="0.25">
      <c r="I345" t="str">
        <f t="shared" si="15"/>
        <v>Unknown</v>
      </c>
      <c r="J345" t="str">
        <f t="shared" si="16"/>
        <v>Other</v>
      </c>
      <c r="K345" s="3">
        <f t="shared" si="17"/>
        <v>0</v>
      </c>
    </row>
    <row r="346" spans="9:11" x14ac:dyDescent="0.25">
      <c r="I346" t="str">
        <f t="shared" si="15"/>
        <v>Unknown</v>
      </c>
      <c r="J346" t="str">
        <f t="shared" si="16"/>
        <v>Other</v>
      </c>
      <c r="K346" s="3">
        <f t="shared" si="17"/>
        <v>0</v>
      </c>
    </row>
    <row r="347" spans="9:11" x14ac:dyDescent="0.25">
      <c r="I347" t="str">
        <f t="shared" si="15"/>
        <v>Unknown</v>
      </c>
      <c r="J347" t="str">
        <f t="shared" si="16"/>
        <v>Other</v>
      </c>
      <c r="K347" s="3">
        <f t="shared" si="17"/>
        <v>0</v>
      </c>
    </row>
    <row r="348" spans="9:11" x14ac:dyDescent="0.25">
      <c r="I348" t="str">
        <f t="shared" si="15"/>
        <v>Unknown</v>
      </c>
      <c r="J348" t="str">
        <f t="shared" si="16"/>
        <v>Other</v>
      </c>
      <c r="K348" s="3">
        <f t="shared" si="17"/>
        <v>0</v>
      </c>
    </row>
    <row r="349" spans="9:11" x14ac:dyDescent="0.25">
      <c r="I349" t="str">
        <f t="shared" si="15"/>
        <v>Unknown</v>
      </c>
      <c r="J349" t="str">
        <f t="shared" si="16"/>
        <v>Other</v>
      </c>
      <c r="K349" s="3">
        <f t="shared" si="17"/>
        <v>0</v>
      </c>
    </row>
    <row r="350" spans="9:11" x14ac:dyDescent="0.25">
      <c r="I350" t="str">
        <f t="shared" si="15"/>
        <v>Unknown</v>
      </c>
      <c r="J350" t="str">
        <f t="shared" si="16"/>
        <v>Other</v>
      </c>
      <c r="K350" s="3">
        <f t="shared" si="17"/>
        <v>0</v>
      </c>
    </row>
    <row r="351" spans="9:11" x14ac:dyDescent="0.25">
      <c r="I351" t="str">
        <f t="shared" si="15"/>
        <v>Unknown</v>
      </c>
      <c r="J351" t="str">
        <f t="shared" si="16"/>
        <v>Other</v>
      </c>
      <c r="K351" s="3">
        <f t="shared" si="17"/>
        <v>0</v>
      </c>
    </row>
    <row r="352" spans="9:11" x14ac:dyDescent="0.25">
      <c r="I352" t="str">
        <f t="shared" si="15"/>
        <v>Unknown</v>
      </c>
      <c r="J352" t="str">
        <f t="shared" si="16"/>
        <v>Other</v>
      </c>
      <c r="K352" s="3">
        <f t="shared" si="17"/>
        <v>0</v>
      </c>
    </row>
    <row r="353" spans="9:11" x14ac:dyDescent="0.25">
      <c r="I353" t="str">
        <f t="shared" si="15"/>
        <v>Unknown</v>
      </c>
      <c r="J353" t="str">
        <f t="shared" si="16"/>
        <v>Other</v>
      </c>
      <c r="K353" s="3">
        <f t="shared" si="17"/>
        <v>0</v>
      </c>
    </row>
    <row r="354" spans="9:11" x14ac:dyDescent="0.25">
      <c r="I354" t="str">
        <f t="shared" si="15"/>
        <v>Unknown</v>
      </c>
      <c r="J354" t="str">
        <f t="shared" si="16"/>
        <v>Other</v>
      </c>
      <c r="K354" s="3">
        <f t="shared" si="17"/>
        <v>0</v>
      </c>
    </row>
    <row r="355" spans="9:11" x14ac:dyDescent="0.25">
      <c r="I355" t="str">
        <f t="shared" si="15"/>
        <v>Unknown</v>
      </c>
      <c r="J355" t="str">
        <f t="shared" si="16"/>
        <v>Other</v>
      </c>
      <c r="K355" s="3">
        <f t="shared" si="17"/>
        <v>0</v>
      </c>
    </row>
    <row r="356" spans="9:11" x14ac:dyDescent="0.25">
      <c r="I356" t="str">
        <f t="shared" si="15"/>
        <v>Unknown</v>
      </c>
      <c r="J356" t="str">
        <f t="shared" si="16"/>
        <v>Other</v>
      </c>
      <c r="K356" s="3">
        <f t="shared" si="17"/>
        <v>0</v>
      </c>
    </row>
    <row r="357" spans="9:11" x14ac:dyDescent="0.25">
      <c r="I357" t="str">
        <f t="shared" si="15"/>
        <v>Unknown</v>
      </c>
      <c r="J357" t="str">
        <f t="shared" si="16"/>
        <v>Other</v>
      </c>
      <c r="K357" s="3">
        <f t="shared" si="17"/>
        <v>0</v>
      </c>
    </row>
    <row r="358" spans="9:11" x14ac:dyDescent="0.25">
      <c r="I358" t="str">
        <f t="shared" si="15"/>
        <v>Unknown</v>
      </c>
      <c r="J358" t="str">
        <f t="shared" si="16"/>
        <v>Other</v>
      </c>
      <c r="K358" s="3">
        <f t="shared" si="17"/>
        <v>0</v>
      </c>
    </row>
    <row r="359" spans="9:11" x14ac:dyDescent="0.25">
      <c r="I359" t="str">
        <f t="shared" si="15"/>
        <v>Unknown</v>
      </c>
      <c r="J359" t="str">
        <f t="shared" si="16"/>
        <v>Other</v>
      </c>
      <c r="K359" s="3">
        <f t="shared" si="17"/>
        <v>0</v>
      </c>
    </row>
    <row r="360" spans="9:11" x14ac:dyDescent="0.25">
      <c r="I360" t="str">
        <f t="shared" si="15"/>
        <v>Unknown</v>
      </c>
      <c r="J360" t="str">
        <f t="shared" si="16"/>
        <v>Other</v>
      </c>
      <c r="K360" s="3">
        <f t="shared" si="17"/>
        <v>0</v>
      </c>
    </row>
    <row r="361" spans="9:11" x14ac:dyDescent="0.25">
      <c r="I361" t="str">
        <f t="shared" si="15"/>
        <v>Unknown</v>
      </c>
      <c r="J361" t="str">
        <f t="shared" si="16"/>
        <v>Other</v>
      </c>
      <c r="K361" s="3">
        <f t="shared" si="17"/>
        <v>0</v>
      </c>
    </row>
    <row r="362" spans="9:11" x14ac:dyDescent="0.25">
      <c r="I362" t="str">
        <f t="shared" si="15"/>
        <v>Unknown</v>
      </c>
      <c r="J362" t="str">
        <f t="shared" si="16"/>
        <v>Other</v>
      </c>
      <c r="K362" s="3">
        <f t="shared" si="17"/>
        <v>0</v>
      </c>
    </row>
    <row r="363" spans="9:11" x14ac:dyDescent="0.25">
      <c r="I363" t="str">
        <f t="shared" si="15"/>
        <v>Unknown</v>
      </c>
      <c r="J363" t="str">
        <f t="shared" si="16"/>
        <v>Other</v>
      </c>
      <c r="K363" s="3">
        <f t="shared" si="17"/>
        <v>0</v>
      </c>
    </row>
    <row r="364" spans="9:11" x14ac:dyDescent="0.25">
      <c r="I364" t="str">
        <f t="shared" si="15"/>
        <v>Unknown</v>
      </c>
      <c r="J364" t="str">
        <f t="shared" si="16"/>
        <v>Other</v>
      </c>
      <c r="K364" s="3">
        <f t="shared" si="17"/>
        <v>0</v>
      </c>
    </row>
    <row r="365" spans="9:11" x14ac:dyDescent="0.25">
      <c r="I365" t="str">
        <f t="shared" si="15"/>
        <v>Unknown</v>
      </c>
      <c r="J365" t="str">
        <f t="shared" si="16"/>
        <v>Other</v>
      </c>
      <c r="K365" s="3">
        <f t="shared" si="17"/>
        <v>0</v>
      </c>
    </row>
    <row r="366" spans="9:11" x14ac:dyDescent="0.25">
      <c r="I366" t="str">
        <f t="shared" si="15"/>
        <v>Unknown</v>
      </c>
      <c r="J366" t="str">
        <f t="shared" si="16"/>
        <v>Other</v>
      </c>
      <c r="K366" s="3">
        <f t="shared" si="17"/>
        <v>0</v>
      </c>
    </row>
    <row r="367" spans="9:11" x14ac:dyDescent="0.25">
      <c r="I367" t="str">
        <f t="shared" si="15"/>
        <v>Unknown</v>
      </c>
      <c r="J367" t="str">
        <f t="shared" si="16"/>
        <v>Other</v>
      </c>
      <c r="K367" s="3">
        <f t="shared" si="17"/>
        <v>0</v>
      </c>
    </row>
    <row r="368" spans="9:11" x14ac:dyDescent="0.25">
      <c r="I368" t="str">
        <f t="shared" si="15"/>
        <v>Unknown</v>
      </c>
      <c r="J368" t="str">
        <f t="shared" si="16"/>
        <v>Other</v>
      </c>
      <c r="K368" s="3">
        <f t="shared" si="17"/>
        <v>0</v>
      </c>
    </row>
    <row r="369" spans="9:11" x14ac:dyDescent="0.25">
      <c r="I369" t="str">
        <f t="shared" si="15"/>
        <v>Unknown</v>
      </c>
      <c r="J369" t="str">
        <f t="shared" si="16"/>
        <v>Other</v>
      </c>
      <c r="K369" s="3">
        <f t="shared" si="17"/>
        <v>0</v>
      </c>
    </row>
    <row r="370" spans="9:11" x14ac:dyDescent="0.25">
      <c r="I370" t="str">
        <f t="shared" si="15"/>
        <v>Unknown</v>
      </c>
      <c r="J370" t="str">
        <f t="shared" si="16"/>
        <v>Other</v>
      </c>
      <c r="K370" s="3">
        <f t="shared" si="17"/>
        <v>0</v>
      </c>
    </row>
    <row r="371" spans="9:11" x14ac:dyDescent="0.25">
      <c r="I371" t="str">
        <f t="shared" si="15"/>
        <v>Unknown</v>
      </c>
      <c r="J371" t="str">
        <f t="shared" si="16"/>
        <v>Other</v>
      </c>
      <c r="K371" s="3">
        <f t="shared" si="17"/>
        <v>0</v>
      </c>
    </row>
    <row r="372" spans="9:11" x14ac:dyDescent="0.25">
      <c r="I372" t="str">
        <f t="shared" si="15"/>
        <v>Unknown</v>
      </c>
      <c r="J372" t="str">
        <f t="shared" si="16"/>
        <v>Other</v>
      </c>
      <c r="K372" s="3">
        <f t="shared" si="17"/>
        <v>0</v>
      </c>
    </row>
    <row r="373" spans="9:11" x14ac:dyDescent="0.25">
      <c r="I373" t="str">
        <f t="shared" si="15"/>
        <v>Unknown</v>
      </c>
      <c r="J373" t="str">
        <f t="shared" si="16"/>
        <v>Other</v>
      </c>
      <c r="K373" s="3">
        <f t="shared" si="17"/>
        <v>0</v>
      </c>
    </row>
    <row r="374" spans="9:11" x14ac:dyDescent="0.25">
      <c r="I374" t="str">
        <f t="shared" si="15"/>
        <v>Unknown</v>
      </c>
      <c r="J374" t="str">
        <f t="shared" si="16"/>
        <v>Other</v>
      </c>
      <c r="K374" s="3">
        <f t="shared" si="17"/>
        <v>0</v>
      </c>
    </row>
    <row r="375" spans="9:11" x14ac:dyDescent="0.25">
      <c r="I375" t="str">
        <f t="shared" si="15"/>
        <v>Unknown</v>
      </c>
      <c r="J375" t="str">
        <f t="shared" si="16"/>
        <v>Other</v>
      </c>
      <c r="K375" s="3">
        <f t="shared" si="17"/>
        <v>0</v>
      </c>
    </row>
    <row r="376" spans="9:11" x14ac:dyDescent="0.25">
      <c r="I376" t="str">
        <f t="shared" si="15"/>
        <v>Unknown</v>
      </c>
      <c r="J376" t="str">
        <f t="shared" si="16"/>
        <v>Other</v>
      </c>
      <c r="K376" s="3">
        <f t="shared" si="17"/>
        <v>0</v>
      </c>
    </row>
    <row r="377" spans="9:11" x14ac:dyDescent="0.25">
      <c r="I377" t="str">
        <f t="shared" si="15"/>
        <v>Unknown</v>
      </c>
      <c r="J377" t="str">
        <f t="shared" si="16"/>
        <v>Other</v>
      </c>
      <c r="K377" s="3">
        <f t="shared" si="17"/>
        <v>0</v>
      </c>
    </row>
    <row r="378" spans="9:11" x14ac:dyDescent="0.25">
      <c r="I378" t="str">
        <f t="shared" si="15"/>
        <v>Unknown</v>
      </c>
      <c r="J378" t="str">
        <f t="shared" si="16"/>
        <v>Other</v>
      </c>
      <c r="K378" s="3">
        <f t="shared" si="17"/>
        <v>0</v>
      </c>
    </row>
    <row r="379" spans="9:11" x14ac:dyDescent="0.25">
      <c r="I379" t="str">
        <f t="shared" si="15"/>
        <v>Unknown</v>
      </c>
      <c r="J379" t="str">
        <f t="shared" si="16"/>
        <v>Other</v>
      </c>
      <c r="K379" s="3">
        <f t="shared" si="17"/>
        <v>0</v>
      </c>
    </row>
    <row r="380" spans="9:11" x14ac:dyDescent="0.25">
      <c r="I380" t="str">
        <f t="shared" si="15"/>
        <v>Unknown</v>
      </c>
      <c r="J380" t="str">
        <f t="shared" si="16"/>
        <v>Other</v>
      </c>
      <c r="K380" s="3">
        <f t="shared" si="17"/>
        <v>0</v>
      </c>
    </row>
    <row r="381" spans="9:11" x14ac:dyDescent="0.25">
      <c r="I381" t="str">
        <f t="shared" si="15"/>
        <v>Unknown</v>
      </c>
      <c r="J381" t="str">
        <f t="shared" si="16"/>
        <v>Other</v>
      </c>
      <c r="K381" s="3">
        <f t="shared" si="17"/>
        <v>0</v>
      </c>
    </row>
    <row r="382" spans="9:11" x14ac:dyDescent="0.25">
      <c r="I382" t="str">
        <f t="shared" si="15"/>
        <v>Unknown</v>
      </c>
      <c r="J382" t="str">
        <f t="shared" si="16"/>
        <v>Other</v>
      </c>
      <c r="K382" s="3">
        <f t="shared" si="17"/>
        <v>0</v>
      </c>
    </row>
    <row r="383" spans="9:11" x14ac:dyDescent="0.25">
      <c r="I383" t="str">
        <f t="shared" si="15"/>
        <v>Unknown</v>
      </c>
      <c r="J383" t="str">
        <f t="shared" si="16"/>
        <v>Other</v>
      </c>
      <c r="K383" s="3">
        <f t="shared" si="17"/>
        <v>0</v>
      </c>
    </row>
    <row r="384" spans="9:11" x14ac:dyDescent="0.25">
      <c r="I384" t="str">
        <f t="shared" si="15"/>
        <v>Unknown</v>
      </c>
      <c r="J384" t="str">
        <f t="shared" si="16"/>
        <v>Other</v>
      </c>
      <c r="K384" s="3">
        <f t="shared" si="17"/>
        <v>0</v>
      </c>
    </row>
    <row r="385" spans="9:11" x14ac:dyDescent="0.25">
      <c r="I385" t="str">
        <f t="shared" si="15"/>
        <v>Unknown</v>
      </c>
      <c r="J385" t="str">
        <f t="shared" si="16"/>
        <v>Other</v>
      </c>
      <c r="K385" s="3">
        <f t="shared" si="17"/>
        <v>0</v>
      </c>
    </row>
    <row r="386" spans="9:11" x14ac:dyDescent="0.25">
      <c r="I386" t="str">
        <f t="shared" ref="I386:I449" si="18">IF(ISNUMBER(SEARCH("kirk",F386)),"Kirk",IF(ISNUMBER(SEARCH("justin",F386)),"Justin",IF(ISNUMBER(SEARCH("reyna",F386)),"Reyna","Unknown")))</f>
        <v>Unknown</v>
      </c>
      <c r="J386" t="str">
        <f t="shared" ref="J386:J449" si="19">IF(ISNUMBER(SEARCH("onboard",F386)),"Onboarded",IF(ISNUMBER(SEARCH("referr",F386)),"Referral",IF(ISNUMBER(SEARCH("transfer",F386)),"Transfer","Other")))</f>
        <v>Other</v>
      </c>
      <c r="K386" s="3">
        <f t="shared" ref="K386:K449" si="20">IF(AND(I386="Kirk",J386="Onboarded"),3,IF(AND(I386="Kirk",J386="Referral"),2,IF(AND(I386="Kirk",J386="Transfer"),2,IF(AND(I386="Justin",J386="Onboarded"),3,IF(AND(I386="Justin",J386="Referral"),2,IF(AND(I386="Justin",J386="Transfer"),2,IF(AND(I386="Reyna",J386="Onboarded"),3,IF(AND(I386="Reyna",J386="Referral"),2,IF(AND(I386="Reyna",J386="Transfer"),2,0)))))))))</f>
        <v>0</v>
      </c>
    </row>
    <row r="387" spans="9:11" x14ac:dyDescent="0.25">
      <c r="I387" t="str">
        <f t="shared" si="18"/>
        <v>Unknown</v>
      </c>
      <c r="J387" t="str">
        <f t="shared" si="19"/>
        <v>Other</v>
      </c>
      <c r="K387" s="3">
        <f t="shared" si="20"/>
        <v>0</v>
      </c>
    </row>
    <row r="388" spans="9:11" x14ac:dyDescent="0.25">
      <c r="I388" t="str">
        <f t="shared" si="18"/>
        <v>Unknown</v>
      </c>
      <c r="J388" t="str">
        <f t="shared" si="19"/>
        <v>Other</v>
      </c>
      <c r="K388" s="3">
        <f t="shared" si="20"/>
        <v>0</v>
      </c>
    </row>
    <row r="389" spans="9:11" x14ac:dyDescent="0.25">
      <c r="I389" t="str">
        <f t="shared" si="18"/>
        <v>Unknown</v>
      </c>
      <c r="J389" t="str">
        <f t="shared" si="19"/>
        <v>Other</v>
      </c>
      <c r="K389" s="3">
        <f t="shared" si="20"/>
        <v>0</v>
      </c>
    </row>
    <row r="390" spans="9:11" x14ac:dyDescent="0.25">
      <c r="I390" t="str">
        <f t="shared" si="18"/>
        <v>Unknown</v>
      </c>
      <c r="J390" t="str">
        <f t="shared" si="19"/>
        <v>Other</v>
      </c>
      <c r="K390" s="3">
        <f t="shared" si="20"/>
        <v>0</v>
      </c>
    </row>
    <row r="391" spans="9:11" x14ac:dyDescent="0.25">
      <c r="I391" t="str">
        <f t="shared" si="18"/>
        <v>Unknown</v>
      </c>
      <c r="J391" t="str">
        <f t="shared" si="19"/>
        <v>Other</v>
      </c>
      <c r="K391" s="3">
        <f t="shared" si="20"/>
        <v>0</v>
      </c>
    </row>
    <row r="392" spans="9:11" x14ac:dyDescent="0.25">
      <c r="I392" t="str">
        <f t="shared" si="18"/>
        <v>Unknown</v>
      </c>
      <c r="J392" t="str">
        <f t="shared" si="19"/>
        <v>Other</v>
      </c>
      <c r="K392" s="3">
        <f t="shared" si="20"/>
        <v>0</v>
      </c>
    </row>
    <row r="393" spans="9:11" x14ac:dyDescent="0.25">
      <c r="I393" t="str">
        <f t="shared" si="18"/>
        <v>Unknown</v>
      </c>
      <c r="J393" t="str">
        <f t="shared" si="19"/>
        <v>Other</v>
      </c>
      <c r="K393" s="3">
        <f t="shared" si="20"/>
        <v>0</v>
      </c>
    </row>
    <row r="394" spans="9:11" x14ac:dyDescent="0.25">
      <c r="I394" t="str">
        <f t="shared" si="18"/>
        <v>Unknown</v>
      </c>
      <c r="J394" t="str">
        <f t="shared" si="19"/>
        <v>Other</v>
      </c>
      <c r="K394" s="3">
        <f t="shared" si="20"/>
        <v>0</v>
      </c>
    </row>
    <row r="395" spans="9:11" x14ac:dyDescent="0.25">
      <c r="I395" t="str">
        <f t="shared" si="18"/>
        <v>Unknown</v>
      </c>
      <c r="J395" t="str">
        <f t="shared" si="19"/>
        <v>Other</v>
      </c>
      <c r="K395" s="3">
        <f t="shared" si="20"/>
        <v>0</v>
      </c>
    </row>
    <row r="396" spans="9:11" x14ac:dyDescent="0.25">
      <c r="I396" t="str">
        <f t="shared" si="18"/>
        <v>Unknown</v>
      </c>
      <c r="J396" t="str">
        <f t="shared" si="19"/>
        <v>Other</v>
      </c>
      <c r="K396" s="3">
        <f t="shared" si="20"/>
        <v>0</v>
      </c>
    </row>
    <row r="397" spans="9:11" x14ac:dyDescent="0.25">
      <c r="I397" t="str">
        <f t="shared" si="18"/>
        <v>Unknown</v>
      </c>
      <c r="J397" t="str">
        <f t="shared" si="19"/>
        <v>Other</v>
      </c>
      <c r="K397" s="3">
        <f t="shared" si="20"/>
        <v>0</v>
      </c>
    </row>
    <row r="398" spans="9:11" x14ac:dyDescent="0.25">
      <c r="I398" t="str">
        <f t="shared" si="18"/>
        <v>Unknown</v>
      </c>
      <c r="J398" t="str">
        <f t="shared" si="19"/>
        <v>Other</v>
      </c>
      <c r="K398" s="3">
        <f t="shared" si="20"/>
        <v>0</v>
      </c>
    </row>
    <row r="399" spans="9:11" x14ac:dyDescent="0.25">
      <c r="I399" t="str">
        <f t="shared" si="18"/>
        <v>Unknown</v>
      </c>
      <c r="J399" t="str">
        <f t="shared" si="19"/>
        <v>Other</v>
      </c>
      <c r="K399" s="3">
        <f t="shared" si="20"/>
        <v>0</v>
      </c>
    </row>
    <row r="400" spans="9:11" x14ac:dyDescent="0.25">
      <c r="I400" t="str">
        <f t="shared" si="18"/>
        <v>Unknown</v>
      </c>
      <c r="J400" t="str">
        <f t="shared" si="19"/>
        <v>Other</v>
      </c>
      <c r="K400" s="3">
        <f t="shared" si="20"/>
        <v>0</v>
      </c>
    </row>
    <row r="401" spans="9:11" x14ac:dyDescent="0.25">
      <c r="I401" t="str">
        <f t="shared" si="18"/>
        <v>Unknown</v>
      </c>
      <c r="J401" t="str">
        <f t="shared" si="19"/>
        <v>Other</v>
      </c>
      <c r="K401" s="3">
        <f t="shared" si="20"/>
        <v>0</v>
      </c>
    </row>
    <row r="402" spans="9:11" x14ac:dyDescent="0.25">
      <c r="I402" t="str">
        <f t="shared" si="18"/>
        <v>Unknown</v>
      </c>
      <c r="J402" t="str">
        <f t="shared" si="19"/>
        <v>Other</v>
      </c>
      <c r="K402" s="3">
        <f t="shared" si="20"/>
        <v>0</v>
      </c>
    </row>
    <row r="403" spans="9:11" x14ac:dyDescent="0.25">
      <c r="I403" t="str">
        <f t="shared" si="18"/>
        <v>Unknown</v>
      </c>
      <c r="J403" t="str">
        <f t="shared" si="19"/>
        <v>Other</v>
      </c>
      <c r="K403" s="3">
        <f t="shared" si="20"/>
        <v>0</v>
      </c>
    </row>
    <row r="404" spans="9:11" x14ac:dyDescent="0.25">
      <c r="I404" t="str">
        <f t="shared" si="18"/>
        <v>Unknown</v>
      </c>
      <c r="J404" t="str">
        <f t="shared" si="19"/>
        <v>Other</v>
      </c>
      <c r="K404" s="3">
        <f t="shared" si="20"/>
        <v>0</v>
      </c>
    </row>
    <row r="405" spans="9:11" x14ac:dyDescent="0.25">
      <c r="I405" t="str">
        <f t="shared" si="18"/>
        <v>Unknown</v>
      </c>
      <c r="J405" t="str">
        <f t="shared" si="19"/>
        <v>Other</v>
      </c>
      <c r="K405" s="3">
        <f t="shared" si="20"/>
        <v>0</v>
      </c>
    </row>
    <row r="406" spans="9:11" x14ac:dyDescent="0.25">
      <c r="I406" t="str">
        <f t="shared" si="18"/>
        <v>Unknown</v>
      </c>
      <c r="J406" t="str">
        <f t="shared" si="19"/>
        <v>Other</v>
      </c>
      <c r="K406" s="3">
        <f t="shared" si="20"/>
        <v>0</v>
      </c>
    </row>
    <row r="407" spans="9:11" x14ac:dyDescent="0.25">
      <c r="I407" t="str">
        <f t="shared" si="18"/>
        <v>Unknown</v>
      </c>
      <c r="J407" t="str">
        <f t="shared" si="19"/>
        <v>Other</v>
      </c>
      <c r="K407" s="3">
        <f t="shared" si="20"/>
        <v>0</v>
      </c>
    </row>
    <row r="408" spans="9:11" x14ac:dyDescent="0.25">
      <c r="I408" t="str">
        <f t="shared" si="18"/>
        <v>Unknown</v>
      </c>
      <c r="J408" t="str">
        <f t="shared" si="19"/>
        <v>Other</v>
      </c>
      <c r="K408" s="3">
        <f t="shared" si="20"/>
        <v>0</v>
      </c>
    </row>
    <row r="409" spans="9:11" x14ac:dyDescent="0.25">
      <c r="I409" t="str">
        <f t="shared" si="18"/>
        <v>Unknown</v>
      </c>
      <c r="J409" t="str">
        <f t="shared" si="19"/>
        <v>Other</v>
      </c>
      <c r="K409" s="3">
        <f t="shared" si="20"/>
        <v>0</v>
      </c>
    </row>
    <row r="410" spans="9:11" x14ac:dyDescent="0.25">
      <c r="I410" t="str">
        <f t="shared" si="18"/>
        <v>Unknown</v>
      </c>
      <c r="J410" t="str">
        <f t="shared" si="19"/>
        <v>Other</v>
      </c>
      <c r="K410" s="3">
        <f t="shared" si="20"/>
        <v>0</v>
      </c>
    </row>
    <row r="411" spans="9:11" x14ac:dyDescent="0.25">
      <c r="I411" t="str">
        <f t="shared" si="18"/>
        <v>Unknown</v>
      </c>
      <c r="J411" t="str">
        <f t="shared" si="19"/>
        <v>Other</v>
      </c>
      <c r="K411" s="3">
        <f t="shared" si="20"/>
        <v>0</v>
      </c>
    </row>
    <row r="412" spans="9:11" x14ac:dyDescent="0.25">
      <c r="I412" t="str">
        <f t="shared" si="18"/>
        <v>Unknown</v>
      </c>
      <c r="J412" t="str">
        <f t="shared" si="19"/>
        <v>Other</v>
      </c>
      <c r="K412" s="3">
        <f t="shared" si="20"/>
        <v>0</v>
      </c>
    </row>
    <row r="413" spans="9:11" x14ac:dyDescent="0.25">
      <c r="I413" t="str">
        <f t="shared" si="18"/>
        <v>Unknown</v>
      </c>
      <c r="J413" t="str">
        <f t="shared" si="19"/>
        <v>Other</v>
      </c>
      <c r="K413" s="3">
        <f t="shared" si="20"/>
        <v>0</v>
      </c>
    </row>
    <row r="414" spans="9:11" x14ac:dyDescent="0.25">
      <c r="I414" t="str">
        <f t="shared" si="18"/>
        <v>Unknown</v>
      </c>
      <c r="J414" t="str">
        <f t="shared" si="19"/>
        <v>Other</v>
      </c>
      <c r="K414" s="3">
        <f t="shared" si="20"/>
        <v>0</v>
      </c>
    </row>
    <row r="415" spans="9:11" x14ac:dyDescent="0.25">
      <c r="I415" t="str">
        <f t="shared" si="18"/>
        <v>Unknown</v>
      </c>
      <c r="J415" t="str">
        <f t="shared" si="19"/>
        <v>Other</v>
      </c>
      <c r="K415" s="3">
        <f t="shared" si="20"/>
        <v>0</v>
      </c>
    </row>
    <row r="416" spans="9:11" x14ac:dyDescent="0.25">
      <c r="I416" t="str">
        <f t="shared" si="18"/>
        <v>Unknown</v>
      </c>
      <c r="J416" t="str">
        <f t="shared" si="19"/>
        <v>Other</v>
      </c>
      <c r="K416" s="3">
        <f t="shared" si="20"/>
        <v>0</v>
      </c>
    </row>
    <row r="417" spans="9:11" x14ac:dyDescent="0.25">
      <c r="I417" t="str">
        <f t="shared" si="18"/>
        <v>Unknown</v>
      </c>
      <c r="J417" t="str">
        <f t="shared" si="19"/>
        <v>Other</v>
      </c>
      <c r="K417" s="3">
        <f t="shared" si="20"/>
        <v>0</v>
      </c>
    </row>
    <row r="418" spans="9:11" x14ac:dyDescent="0.25">
      <c r="I418" t="str">
        <f t="shared" si="18"/>
        <v>Unknown</v>
      </c>
      <c r="J418" t="str">
        <f t="shared" si="19"/>
        <v>Other</v>
      </c>
      <c r="K418" s="3">
        <f t="shared" si="20"/>
        <v>0</v>
      </c>
    </row>
    <row r="419" spans="9:11" x14ac:dyDescent="0.25">
      <c r="I419" t="str">
        <f t="shared" si="18"/>
        <v>Unknown</v>
      </c>
      <c r="J419" t="str">
        <f t="shared" si="19"/>
        <v>Other</v>
      </c>
      <c r="K419" s="3">
        <f t="shared" si="20"/>
        <v>0</v>
      </c>
    </row>
    <row r="420" spans="9:11" x14ac:dyDescent="0.25">
      <c r="I420" t="str">
        <f t="shared" si="18"/>
        <v>Unknown</v>
      </c>
      <c r="J420" t="str">
        <f t="shared" si="19"/>
        <v>Other</v>
      </c>
      <c r="K420" s="3">
        <f t="shared" si="20"/>
        <v>0</v>
      </c>
    </row>
    <row r="421" spans="9:11" x14ac:dyDescent="0.25">
      <c r="I421" t="str">
        <f t="shared" si="18"/>
        <v>Unknown</v>
      </c>
      <c r="J421" t="str">
        <f t="shared" si="19"/>
        <v>Other</v>
      </c>
      <c r="K421" s="3">
        <f t="shared" si="20"/>
        <v>0</v>
      </c>
    </row>
    <row r="422" spans="9:11" x14ac:dyDescent="0.25">
      <c r="I422" t="str">
        <f t="shared" si="18"/>
        <v>Unknown</v>
      </c>
      <c r="J422" t="str">
        <f t="shared" si="19"/>
        <v>Other</v>
      </c>
      <c r="K422" s="3">
        <f t="shared" si="20"/>
        <v>0</v>
      </c>
    </row>
    <row r="423" spans="9:11" x14ac:dyDescent="0.25">
      <c r="I423" t="str">
        <f t="shared" si="18"/>
        <v>Unknown</v>
      </c>
      <c r="J423" t="str">
        <f t="shared" si="19"/>
        <v>Other</v>
      </c>
      <c r="K423" s="3">
        <f t="shared" si="20"/>
        <v>0</v>
      </c>
    </row>
    <row r="424" spans="9:11" x14ac:dyDescent="0.25">
      <c r="I424" t="str">
        <f t="shared" si="18"/>
        <v>Unknown</v>
      </c>
      <c r="J424" t="str">
        <f t="shared" si="19"/>
        <v>Other</v>
      </c>
      <c r="K424" s="3">
        <f t="shared" si="20"/>
        <v>0</v>
      </c>
    </row>
    <row r="425" spans="9:11" x14ac:dyDescent="0.25">
      <c r="I425" t="str">
        <f t="shared" si="18"/>
        <v>Unknown</v>
      </c>
      <c r="J425" t="str">
        <f t="shared" si="19"/>
        <v>Other</v>
      </c>
      <c r="K425" s="3">
        <f t="shared" si="20"/>
        <v>0</v>
      </c>
    </row>
    <row r="426" spans="9:11" x14ac:dyDescent="0.25">
      <c r="I426" t="str">
        <f t="shared" si="18"/>
        <v>Unknown</v>
      </c>
      <c r="J426" t="str">
        <f t="shared" si="19"/>
        <v>Other</v>
      </c>
      <c r="K426" s="3">
        <f t="shared" si="20"/>
        <v>0</v>
      </c>
    </row>
    <row r="427" spans="9:11" x14ac:dyDescent="0.25">
      <c r="I427" t="str">
        <f t="shared" si="18"/>
        <v>Unknown</v>
      </c>
      <c r="J427" t="str">
        <f t="shared" si="19"/>
        <v>Other</v>
      </c>
      <c r="K427" s="3">
        <f t="shared" si="20"/>
        <v>0</v>
      </c>
    </row>
    <row r="428" spans="9:11" x14ac:dyDescent="0.25">
      <c r="I428" t="str">
        <f t="shared" si="18"/>
        <v>Unknown</v>
      </c>
      <c r="J428" t="str">
        <f t="shared" si="19"/>
        <v>Other</v>
      </c>
      <c r="K428" s="3">
        <f t="shared" si="20"/>
        <v>0</v>
      </c>
    </row>
    <row r="429" spans="9:11" x14ac:dyDescent="0.25">
      <c r="I429" t="str">
        <f t="shared" si="18"/>
        <v>Unknown</v>
      </c>
      <c r="J429" t="str">
        <f t="shared" si="19"/>
        <v>Other</v>
      </c>
      <c r="K429" s="3">
        <f t="shared" si="20"/>
        <v>0</v>
      </c>
    </row>
    <row r="430" spans="9:11" x14ac:dyDescent="0.25">
      <c r="I430" t="str">
        <f t="shared" si="18"/>
        <v>Unknown</v>
      </c>
      <c r="J430" t="str">
        <f t="shared" si="19"/>
        <v>Other</v>
      </c>
      <c r="K430" s="3">
        <f t="shared" si="20"/>
        <v>0</v>
      </c>
    </row>
    <row r="431" spans="9:11" x14ac:dyDescent="0.25">
      <c r="I431" t="str">
        <f t="shared" si="18"/>
        <v>Unknown</v>
      </c>
      <c r="J431" t="str">
        <f t="shared" si="19"/>
        <v>Other</v>
      </c>
      <c r="K431" s="3">
        <f t="shared" si="20"/>
        <v>0</v>
      </c>
    </row>
    <row r="432" spans="9:11" x14ac:dyDescent="0.25">
      <c r="I432" t="str">
        <f t="shared" si="18"/>
        <v>Unknown</v>
      </c>
      <c r="J432" t="str">
        <f t="shared" si="19"/>
        <v>Other</v>
      </c>
      <c r="K432" s="3">
        <f t="shared" si="20"/>
        <v>0</v>
      </c>
    </row>
    <row r="433" spans="9:11" x14ac:dyDescent="0.25">
      <c r="I433" t="str">
        <f t="shared" si="18"/>
        <v>Unknown</v>
      </c>
      <c r="J433" t="str">
        <f t="shared" si="19"/>
        <v>Other</v>
      </c>
      <c r="K433" s="3">
        <f t="shared" si="20"/>
        <v>0</v>
      </c>
    </row>
    <row r="434" spans="9:11" x14ac:dyDescent="0.25">
      <c r="I434" t="str">
        <f t="shared" si="18"/>
        <v>Unknown</v>
      </c>
      <c r="J434" t="str">
        <f t="shared" si="19"/>
        <v>Other</v>
      </c>
      <c r="K434" s="3">
        <f t="shared" si="20"/>
        <v>0</v>
      </c>
    </row>
    <row r="435" spans="9:11" x14ac:dyDescent="0.25">
      <c r="I435" t="str">
        <f t="shared" si="18"/>
        <v>Unknown</v>
      </c>
      <c r="J435" t="str">
        <f t="shared" si="19"/>
        <v>Other</v>
      </c>
      <c r="K435" s="3">
        <f t="shared" si="20"/>
        <v>0</v>
      </c>
    </row>
    <row r="436" spans="9:11" x14ac:dyDescent="0.25">
      <c r="I436" t="str">
        <f t="shared" si="18"/>
        <v>Unknown</v>
      </c>
      <c r="J436" t="str">
        <f t="shared" si="19"/>
        <v>Other</v>
      </c>
      <c r="K436" s="3">
        <f t="shared" si="20"/>
        <v>0</v>
      </c>
    </row>
    <row r="437" spans="9:11" x14ac:dyDescent="0.25">
      <c r="I437" t="str">
        <f t="shared" si="18"/>
        <v>Unknown</v>
      </c>
      <c r="J437" t="str">
        <f t="shared" si="19"/>
        <v>Other</v>
      </c>
      <c r="K437" s="3">
        <f t="shared" si="20"/>
        <v>0</v>
      </c>
    </row>
    <row r="438" spans="9:11" x14ac:dyDescent="0.25">
      <c r="I438" t="str">
        <f t="shared" si="18"/>
        <v>Unknown</v>
      </c>
      <c r="J438" t="str">
        <f t="shared" si="19"/>
        <v>Other</v>
      </c>
      <c r="K438" s="3">
        <f t="shared" si="20"/>
        <v>0</v>
      </c>
    </row>
    <row r="439" spans="9:11" x14ac:dyDescent="0.25">
      <c r="I439" t="str">
        <f t="shared" si="18"/>
        <v>Unknown</v>
      </c>
      <c r="J439" t="str">
        <f t="shared" si="19"/>
        <v>Other</v>
      </c>
      <c r="K439" s="3">
        <f t="shared" si="20"/>
        <v>0</v>
      </c>
    </row>
    <row r="440" spans="9:11" x14ac:dyDescent="0.25">
      <c r="I440" t="str">
        <f t="shared" si="18"/>
        <v>Unknown</v>
      </c>
      <c r="J440" t="str">
        <f t="shared" si="19"/>
        <v>Other</v>
      </c>
      <c r="K440" s="3">
        <f t="shared" si="20"/>
        <v>0</v>
      </c>
    </row>
    <row r="441" spans="9:11" x14ac:dyDescent="0.25">
      <c r="I441" t="str">
        <f t="shared" si="18"/>
        <v>Unknown</v>
      </c>
      <c r="J441" t="str">
        <f t="shared" si="19"/>
        <v>Other</v>
      </c>
      <c r="K441" s="3">
        <f t="shared" si="20"/>
        <v>0</v>
      </c>
    </row>
    <row r="442" spans="9:11" x14ac:dyDescent="0.25">
      <c r="I442" t="str">
        <f t="shared" si="18"/>
        <v>Unknown</v>
      </c>
      <c r="J442" t="str">
        <f t="shared" si="19"/>
        <v>Other</v>
      </c>
      <c r="K442" s="3">
        <f t="shared" si="20"/>
        <v>0</v>
      </c>
    </row>
    <row r="443" spans="9:11" x14ac:dyDescent="0.25">
      <c r="I443" t="str">
        <f t="shared" si="18"/>
        <v>Unknown</v>
      </c>
      <c r="J443" t="str">
        <f t="shared" si="19"/>
        <v>Other</v>
      </c>
      <c r="K443" s="3">
        <f t="shared" si="20"/>
        <v>0</v>
      </c>
    </row>
    <row r="444" spans="9:11" x14ac:dyDescent="0.25">
      <c r="I444" t="str">
        <f t="shared" si="18"/>
        <v>Unknown</v>
      </c>
      <c r="J444" t="str">
        <f t="shared" si="19"/>
        <v>Other</v>
      </c>
      <c r="K444" s="3">
        <f t="shared" si="20"/>
        <v>0</v>
      </c>
    </row>
    <row r="445" spans="9:11" x14ac:dyDescent="0.25">
      <c r="I445" t="str">
        <f t="shared" si="18"/>
        <v>Unknown</v>
      </c>
      <c r="J445" t="str">
        <f t="shared" si="19"/>
        <v>Other</v>
      </c>
      <c r="K445" s="3">
        <f t="shared" si="20"/>
        <v>0</v>
      </c>
    </row>
    <row r="446" spans="9:11" x14ac:dyDescent="0.25">
      <c r="I446" t="str">
        <f t="shared" si="18"/>
        <v>Unknown</v>
      </c>
      <c r="J446" t="str">
        <f t="shared" si="19"/>
        <v>Other</v>
      </c>
      <c r="K446" s="3">
        <f t="shared" si="20"/>
        <v>0</v>
      </c>
    </row>
    <row r="447" spans="9:11" x14ac:dyDescent="0.25">
      <c r="I447" t="str">
        <f t="shared" si="18"/>
        <v>Unknown</v>
      </c>
      <c r="J447" t="str">
        <f t="shared" si="19"/>
        <v>Other</v>
      </c>
      <c r="K447" s="3">
        <f t="shared" si="20"/>
        <v>0</v>
      </c>
    </row>
    <row r="448" spans="9:11" x14ac:dyDescent="0.25">
      <c r="I448" t="str">
        <f t="shared" si="18"/>
        <v>Unknown</v>
      </c>
      <c r="J448" t="str">
        <f t="shared" si="19"/>
        <v>Other</v>
      </c>
      <c r="K448" s="3">
        <f t="shared" si="20"/>
        <v>0</v>
      </c>
    </row>
    <row r="449" spans="9:11" x14ac:dyDescent="0.25">
      <c r="I449" t="str">
        <f t="shared" si="18"/>
        <v>Unknown</v>
      </c>
      <c r="J449" t="str">
        <f t="shared" si="19"/>
        <v>Other</v>
      </c>
      <c r="K449" s="3">
        <f t="shared" si="20"/>
        <v>0</v>
      </c>
    </row>
    <row r="450" spans="9:11" x14ac:dyDescent="0.25">
      <c r="I450" t="str">
        <f t="shared" ref="I450:I513" si="21">IF(ISNUMBER(SEARCH("kirk",F450)),"Kirk",IF(ISNUMBER(SEARCH("justin",F450)),"Justin",IF(ISNUMBER(SEARCH("reyna",F450)),"Reyna","Unknown")))</f>
        <v>Unknown</v>
      </c>
      <c r="J450" t="str">
        <f t="shared" ref="J450:J513" si="22">IF(ISNUMBER(SEARCH("onboard",F450)),"Onboarded",IF(ISNUMBER(SEARCH("referr",F450)),"Referral",IF(ISNUMBER(SEARCH("transfer",F450)),"Transfer","Other")))</f>
        <v>Other</v>
      </c>
      <c r="K450" s="3">
        <f t="shared" ref="K450:K513" si="23">IF(AND(I450="Kirk",J450="Onboarded"),3,IF(AND(I450="Kirk",J450="Referral"),2,IF(AND(I450="Kirk",J450="Transfer"),2,IF(AND(I450="Justin",J450="Onboarded"),3,IF(AND(I450="Justin",J450="Referral"),2,IF(AND(I450="Justin",J450="Transfer"),2,IF(AND(I450="Reyna",J450="Onboarded"),3,IF(AND(I450="Reyna",J450="Referral"),2,IF(AND(I450="Reyna",J450="Transfer"),2,0)))))))))</f>
        <v>0</v>
      </c>
    </row>
    <row r="451" spans="9:11" x14ac:dyDescent="0.25">
      <c r="I451" t="str">
        <f t="shared" si="21"/>
        <v>Unknown</v>
      </c>
      <c r="J451" t="str">
        <f t="shared" si="22"/>
        <v>Other</v>
      </c>
      <c r="K451" s="3">
        <f t="shared" si="23"/>
        <v>0</v>
      </c>
    </row>
    <row r="452" spans="9:11" x14ac:dyDescent="0.25">
      <c r="I452" t="str">
        <f t="shared" si="21"/>
        <v>Unknown</v>
      </c>
      <c r="J452" t="str">
        <f t="shared" si="22"/>
        <v>Other</v>
      </c>
      <c r="K452" s="3">
        <f t="shared" si="23"/>
        <v>0</v>
      </c>
    </row>
    <row r="453" spans="9:11" x14ac:dyDescent="0.25">
      <c r="I453" t="str">
        <f t="shared" si="21"/>
        <v>Unknown</v>
      </c>
      <c r="J453" t="str">
        <f t="shared" si="22"/>
        <v>Other</v>
      </c>
      <c r="K453" s="3">
        <f t="shared" si="23"/>
        <v>0</v>
      </c>
    </row>
    <row r="454" spans="9:11" x14ac:dyDescent="0.25">
      <c r="I454" t="str">
        <f t="shared" si="21"/>
        <v>Unknown</v>
      </c>
      <c r="J454" t="str">
        <f t="shared" si="22"/>
        <v>Other</v>
      </c>
      <c r="K454" s="3">
        <f t="shared" si="23"/>
        <v>0</v>
      </c>
    </row>
    <row r="455" spans="9:11" x14ac:dyDescent="0.25">
      <c r="I455" t="str">
        <f t="shared" si="21"/>
        <v>Unknown</v>
      </c>
      <c r="J455" t="str">
        <f t="shared" si="22"/>
        <v>Other</v>
      </c>
      <c r="K455" s="3">
        <f t="shared" si="23"/>
        <v>0</v>
      </c>
    </row>
    <row r="456" spans="9:11" x14ac:dyDescent="0.25">
      <c r="I456" t="str">
        <f t="shared" si="21"/>
        <v>Unknown</v>
      </c>
      <c r="J456" t="str">
        <f t="shared" si="22"/>
        <v>Other</v>
      </c>
      <c r="K456" s="3">
        <f t="shared" si="23"/>
        <v>0</v>
      </c>
    </row>
    <row r="457" spans="9:11" x14ac:dyDescent="0.25">
      <c r="I457" t="str">
        <f t="shared" si="21"/>
        <v>Unknown</v>
      </c>
      <c r="J457" t="str">
        <f t="shared" si="22"/>
        <v>Other</v>
      </c>
      <c r="K457" s="3">
        <f t="shared" si="23"/>
        <v>0</v>
      </c>
    </row>
    <row r="458" spans="9:11" x14ac:dyDescent="0.25">
      <c r="I458" t="str">
        <f t="shared" si="21"/>
        <v>Unknown</v>
      </c>
      <c r="J458" t="str">
        <f t="shared" si="22"/>
        <v>Other</v>
      </c>
      <c r="K458" s="3">
        <f t="shared" si="23"/>
        <v>0</v>
      </c>
    </row>
    <row r="459" spans="9:11" x14ac:dyDescent="0.25">
      <c r="I459" t="str">
        <f t="shared" si="21"/>
        <v>Unknown</v>
      </c>
      <c r="J459" t="str">
        <f t="shared" si="22"/>
        <v>Other</v>
      </c>
      <c r="K459" s="3">
        <f t="shared" si="23"/>
        <v>0</v>
      </c>
    </row>
    <row r="460" spans="9:11" x14ac:dyDescent="0.25">
      <c r="I460" t="str">
        <f t="shared" si="21"/>
        <v>Unknown</v>
      </c>
      <c r="J460" t="str">
        <f t="shared" si="22"/>
        <v>Other</v>
      </c>
      <c r="K460" s="3">
        <f t="shared" si="23"/>
        <v>0</v>
      </c>
    </row>
    <row r="461" spans="9:11" x14ac:dyDescent="0.25">
      <c r="I461" t="str">
        <f t="shared" si="21"/>
        <v>Unknown</v>
      </c>
      <c r="J461" t="str">
        <f t="shared" si="22"/>
        <v>Other</v>
      </c>
      <c r="K461" s="3">
        <f t="shared" si="23"/>
        <v>0</v>
      </c>
    </row>
    <row r="462" spans="9:11" x14ac:dyDescent="0.25">
      <c r="I462" t="str">
        <f t="shared" si="21"/>
        <v>Unknown</v>
      </c>
      <c r="J462" t="str">
        <f t="shared" si="22"/>
        <v>Other</v>
      </c>
      <c r="K462" s="3">
        <f t="shared" si="23"/>
        <v>0</v>
      </c>
    </row>
    <row r="463" spans="9:11" x14ac:dyDescent="0.25">
      <c r="I463" t="str">
        <f t="shared" si="21"/>
        <v>Unknown</v>
      </c>
      <c r="J463" t="str">
        <f t="shared" si="22"/>
        <v>Other</v>
      </c>
      <c r="K463" s="3">
        <f t="shared" si="23"/>
        <v>0</v>
      </c>
    </row>
    <row r="464" spans="9:11" x14ac:dyDescent="0.25">
      <c r="I464" t="str">
        <f t="shared" si="21"/>
        <v>Unknown</v>
      </c>
      <c r="J464" t="str">
        <f t="shared" si="22"/>
        <v>Other</v>
      </c>
      <c r="K464" s="3">
        <f t="shared" si="23"/>
        <v>0</v>
      </c>
    </row>
    <row r="465" spans="9:11" x14ac:dyDescent="0.25">
      <c r="I465" t="str">
        <f t="shared" si="21"/>
        <v>Unknown</v>
      </c>
      <c r="J465" t="str">
        <f t="shared" si="22"/>
        <v>Other</v>
      </c>
      <c r="K465" s="3">
        <f t="shared" si="23"/>
        <v>0</v>
      </c>
    </row>
    <row r="466" spans="9:11" x14ac:dyDescent="0.25">
      <c r="I466" t="str">
        <f t="shared" si="21"/>
        <v>Unknown</v>
      </c>
      <c r="J466" t="str">
        <f t="shared" si="22"/>
        <v>Other</v>
      </c>
      <c r="K466" s="3">
        <f t="shared" si="23"/>
        <v>0</v>
      </c>
    </row>
    <row r="467" spans="9:11" x14ac:dyDescent="0.25">
      <c r="I467" t="str">
        <f t="shared" si="21"/>
        <v>Unknown</v>
      </c>
      <c r="J467" t="str">
        <f t="shared" si="22"/>
        <v>Other</v>
      </c>
      <c r="K467" s="3">
        <f t="shared" si="23"/>
        <v>0</v>
      </c>
    </row>
    <row r="468" spans="9:11" x14ac:dyDescent="0.25">
      <c r="I468" t="str">
        <f t="shared" si="21"/>
        <v>Unknown</v>
      </c>
      <c r="J468" t="str">
        <f t="shared" si="22"/>
        <v>Other</v>
      </c>
      <c r="K468" s="3">
        <f t="shared" si="23"/>
        <v>0</v>
      </c>
    </row>
    <row r="469" spans="9:11" x14ac:dyDescent="0.25">
      <c r="I469" t="str">
        <f t="shared" si="21"/>
        <v>Unknown</v>
      </c>
      <c r="J469" t="str">
        <f t="shared" si="22"/>
        <v>Other</v>
      </c>
      <c r="K469" s="3">
        <f t="shared" si="23"/>
        <v>0</v>
      </c>
    </row>
    <row r="470" spans="9:11" x14ac:dyDescent="0.25">
      <c r="I470" t="str">
        <f t="shared" si="21"/>
        <v>Unknown</v>
      </c>
      <c r="J470" t="str">
        <f t="shared" si="22"/>
        <v>Other</v>
      </c>
      <c r="K470" s="3">
        <f t="shared" si="23"/>
        <v>0</v>
      </c>
    </row>
    <row r="471" spans="9:11" x14ac:dyDescent="0.25">
      <c r="I471" t="str">
        <f t="shared" si="21"/>
        <v>Unknown</v>
      </c>
      <c r="J471" t="str">
        <f t="shared" si="22"/>
        <v>Other</v>
      </c>
      <c r="K471" s="3">
        <f t="shared" si="23"/>
        <v>0</v>
      </c>
    </row>
    <row r="472" spans="9:11" x14ac:dyDescent="0.25">
      <c r="I472" t="str">
        <f t="shared" si="21"/>
        <v>Unknown</v>
      </c>
      <c r="J472" t="str">
        <f t="shared" si="22"/>
        <v>Other</v>
      </c>
      <c r="K472" s="3">
        <f t="shared" si="23"/>
        <v>0</v>
      </c>
    </row>
    <row r="473" spans="9:11" x14ac:dyDescent="0.25">
      <c r="I473" t="str">
        <f t="shared" si="21"/>
        <v>Unknown</v>
      </c>
      <c r="J473" t="str">
        <f t="shared" si="22"/>
        <v>Other</v>
      </c>
      <c r="K473" s="3">
        <f t="shared" si="23"/>
        <v>0</v>
      </c>
    </row>
    <row r="474" spans="9:11" x14ac:dyDescent="0.25">
      <c r="I474" t="str">
        <f t="shared" si="21"/>
        <v>Unknown</v>
      </c>
      <c r="J474" t="str">
        <f t="shared" si="22"/>
        <v>Other</v>
      </c>
      <c r="K474" s="3">
        <f t="shared" si="23"/>
        <v>0</v>
      </c>
    </row>
    <row r="475" spans="9:11" x14ac:dyDescent="0.25">
      <c r="I475" t="str">
        <f t="shared" si="21"/>
        <v>Unknown</v>
      </c>
      <c r="J475" t="str">
        <f t="shared" si="22"/>
        <v>Other</v>
      </c>
      <c r="K475" s="3">
        <f t="shared" si="23"/>
        <v>0</v>
      </c>
    </row>
    <row r="476" spans="9:11" x14ac:dyDescent="0.25">
      <c r="I476" t="str">
        <f t="shared" si="21"/>
        <v>Unknown</v>
      </c>
      <c r="J476" t="str">
        <f t="shared" si="22"/>
        <v>Other</v>
      </c>
      <c r="K476" s="3">
        <f t="shared" si="23"/>
        <v>0</v>
      </c>
    </row>
    <row r="477" spans="9:11" x14ac:dyDescent="0.25">
      <c r="I477" t="str">
        <f t="shared" si="21"/>
        <v>Unknown</v>
      </c>
      <c r="J477" t="str">
        <f t="shared" si="22"/>
        <v>Other</v>
      </c>
      <c r="K477" s="3">
        <f t="shared" si="23"/>
        <v>0</v>
      </c>
    </row>
    <row r="478" spans="9:11" x14ac:dyDescent="0.25">
      <c r="I478" t="str">
        <f t="shared" si="21"/>
        <v>Unknown</v>
      </c>
      <c r="J478" t="str">
        <f t="shared" si="22"/>
        <v>Other</v>
      </c>
      <c r="K478" s="3">
        <f t="shared" si="23"/>
        <v>0</v>
      </c>
    </row>
    <row r="479" spans="9:11" x14ac:dyDescent="0.25">
      <c r="I479" t="str">
        <f t="shared" si="21"/>
        <v>Unknown</v>
      </c>
      <c r="J479" t="str">
        <f t="shared" si="22"/>
        <v>Other</v>
      </c>
      <c r="K479" s="3">
        <f t="shared" si="23"/>
        <v>0</v>
      </c>
    </row>
    <row r="480" spans="9:11" x14ac:dyDescent="0.25">
      <c r="I480" t="str">
        <f t="shared" si="21"/>
        <v>Unknown</v>
      </c>
      <c r="J480" t="str">
        <f t="shared" si="22"/>
        <v>Other</v>
      </c>
      <c r="K480" s="3">
        <f t="shared" si="23"/>
        <v>0</v>
      </c>
    </row>
    <row r="481" spans="9:11" x14ac:dyDescent="0.25">
      <c r="I481" t="str">
        <f t="shared" si="21"/>
        <v>Unknown</v>
      </c>
      <c r="J481" t="str">
        <f t="shared" si="22"/>
        <v>Other</v>
      </c>
      <c r="K481" s="3">
        <f t="shared" si="23"/>
        <v>0</v>
      </c>
    </row>
    <row r="482" spans="9:11" x14ac:dyDescent="0.25">
      <c r="I482" t="str">
        <f t="shared" si="21"/>
        <v>Unknown</v>
      </c>
      <c r="J482" t="str">
        <f t="shared" si="22"/>
        <v>Other</v>
      </c>
      <c r="K482" s="3">
        <f t="shared" si="23"/>
        <v>0</v>
      </c>
    </row>
    <row r="483" spans="9:11" x14ac:dyDescent="0.25">
      <c r="I483" t="str">
        <f t="shared" si="21"/>
        <v>Unknown</v>
      </c>
      <c r="J483" t="str">
        <f t="shared" si="22"/>
        <v>Other</v>
      </c>
      <c r="K483" s="3">
        <f t="shared" si="23"/>
        <v>0</v>
      </c>
    </row>
    <row r="484" spans="9:11" x14ac:dyDescent="0.25">
      <c r="I484" t="str">
        <f t="shared" si="21"/>
        <v>Unknown</v>
      </c>
      <c r="J484" t="str">
        <f t="shared" si="22"/>
        <v>Other</v>
      </c>
      <c r="K484" s="3">
        <f t="shared" si="23"/>
        <v>0</v>
      </c>
    </row>
    <row r="485" spans="9:11" x14ac:dyDescent="0.25">
      <c r="I485" t="str">
        <f t="shared" si="21"/>
        <v>Unknown</v>
      </c>
      <c r="J485" t="str">
        <f t="shared" si="22"/>
        <v>Other</v>
      </c>
      <c r="K485" s="3">
        <f t="shared" si="23"/>
        <v>0</v>
      </c>
    </row>
    <row r="486" spans="9:11" x14ac:dyDescent="0.25">
      <c r="I486" t="str">
        <f t="shared" si="21"/>
        <v>Unknown</v>
      </c>
      <c r="J486" t="str">
        <f t="shared" si="22"/>
        <v>Other</v>
      </c>
      <c r="K486" s="3">
        <f t="shared" si="23"/>
        <v>0</v>
      </c>
    </row>
    <row r="487" spans="9:11" x14ac:dyDescent="0.25">
      <c r="I487" t="str">
        <f t="shared" si="21"/>
        <v>Unknown</v>
      </c>
      <c r="J487" t="str">
        <f t="shared" si="22"/>
        <v>Other</v>
      </c>
      <c r="K487" s="3">
        <f t="shared" si="23"/>
        <v>0</v>
      </c>
    </row>
    <row r="488" spans="9:11" x14ac:dyDescent="0.25">
      <c r="I488" t="str">
        <f t="shared" si="21"/>
        <v>Unknown</v>
      </c>
      <c r="J488" t="str">
        <f t="shared" si="22"/>
        <v>Other</v>
      </c>
      <c r="K488" s="3">
        <f t="shared" si="23"/>
        <v>0</v>
      </c>
    </row>
    <row r="489" spans="9:11" x14ac:dyDescent="0.25">
      <c r="I489" t="str">
        <f t="shared" si="21"/>
        <v>Unknown</v>
      </c>
      <c r="J489" t="str">
        <f t="shared" si="22"/>
        <v>Other</v>
      </c>
      <c r="K489" s="3">
        <f t="shared" si="23"/>
        <v>0</v>
      </c>
    </row>
    <row r="490" spans="9:11" x14ac:dyDescent="0.25">
      <c r="I490" t="str">
        <f t="shared" si="21"/>
        <v>Unknown</v>
      </c>
      <c r="J490" t="str">
        <f t="shared" si="22"/>
        <v>Other</v>
      </c>
      <c r="K490" s="3">
        <f t="shared" si="23"/>
        <v>0</v>
      </c>
    </row>
    <row r="491" spans="9:11" x14ac:dyDescent="0.25">
      <c r="I491" t="str">
        <f t="shared" si="21"/>
        <v>Unknown</v>
      </c>
      <c r="J491" t="str">
        <f t="shared" si="22"/>
        <v>Other</v>
      </c>
      <c r="K491" s="3">
        <f t="shared" si="23"/>
        <v>0</v>
      </c>
    </row>
    <row r="492" spans="9:11" x14ac:dyDescent="0.25">
      <c r="I492" t="str">
        <f t="shared" si="21"/>
        <v>Unknown</v>
      </c>
      <c r="J492" t="str">
        <f t="shared" si="22"/>
        <v>Other</v>
      </c>
      <c r="K492" s="3">
        <f t="shared" si="23"/>
        <v>0</v>
      </c>
    </row>
    <row r="493" spans="9:11" x14ac:dyDescent="0.25">
      <c r="I493" t="str">
        <f t="shared" si="21"/>
        <v>Unknown</v>
      </c>
      <c r="J493" t="str">
        <f t="shared" si="22"/>
        <v>Other</v>
      </c>
      <c r="K493" s="3">
        <f t="shared" si="23"/>
        <v>0</v>
      </c>
    </row>
    <row r="494" spans="9:11" x14ac:dyDescent="0.25">
      <c r="I494" t="str">
        <f t="shared" si="21"/>
        <v>Unknown</v>
      </c>
      <c r="J494" t="str">
        <f t="shared" si="22"/>
        <v>Other</v>
      </c>
      <c r="K494" s="3">
        <f t="shared" si="23"/>
        <v>0</v>
      </c>
    </row>
    <row r="495" spans="9:11" x14ac:dyDescent="0.25">
      <c r="I495" t="str">
        <f t="shared" si="21"/>
        <v>Unknown</v>
      </c>
      <c r="J495" t="str">
        <f t="shared" si="22"/>
        <v>Other</v>
      </c>
      <c r="K495" s="3">
        <f t="shared" si="23"/>
        <v>0</v>
      </c>
    </row>
    <row r="496" spans="9:11" x14ac:dyDescent="0.25">
      <c r="I496" t="str">
        <f t="shared" si="21"/>
        <v>Unknown</v>
      </c>
      <c r="J496" t="str">
        <f t="shared" si="22"/>
        <v>Other</v>
      </c>
      <c r="K496" s="3">
        <f t="shared" si="23"/>
        <v>0</v>
      </c>
    </row>
    <row r="497" spans="9:11" x14ac:dyDescent="0.25">
      <c r="I497" t="str">
        <f t="shared" si="21"/>
        <v>Unknown</v>
      </c>
      <c r="J497" t="str">
        <f t="shared" si="22"/>
        <v>Other</v>
      </c>
      <c r="K497" s="3">
        <f t="shared" si="23"/>
        <v>0</v>
      </c>
    </row>
    <row r="498" spans="9:11" x14ac:dyDescent="0.25">
      <c r="I498" t="str">
        <f t="shared" si="21"/>
        <v>Unknown</v>
      </c>
      <c r="J498" t="str">
        <f t="shared" si="22"/>
        <v>Other</v>
      </c>
      <c r="K498" s="3">
        <f t="shared" si="23"/>
        <v>0</v>
      </c>
    </row>
    <row r="499" spans="9:11" x14ac:dyDescent="0.25">
      <c r="I499" t="str">
        <f t="shared" si="21"/>
        <v>Unknown</v>
      </c>
      <c r="J499" t="str">
        <f t="shared" si="22"/>
        <v>Other</v>
      </c>
      <c r="K499" s="3">
        <f t="shared" si="23"/>
        <v>0</v>
      </c>
    </row>
    <row r="500" spans="9:11" x14ac:dyDescent="0.25">
      <c r="I500" t="str">
        <f t="shared" si="21"/>
        <v>Unknown</v>
      </c>
      <c r="J500" t="str">
        <f t="shared" si="22"/>
        <v>Other</v>
      </c>
      <c r="K500" s="3">
        <f t="shared" si="23"/>
        <v>0</v>
      </c>
    </row>
    <row r="501" spans="9:11" x14ac:dyDescent="0.25">
      <c r="I501" t="str">
        <f t="shared" si="21"/>
        <v>Unknown</v>
      </c>
      <c r="J501" t="str">
        <f t="shared" si="22"/>
        <v>Other</v>
      </c>
      <c r="K501" s="3">
        <f t="shared" si="23"/>
        <v>0</v>
      </c>
    </row>
    <row r="502" spans="9:11" x14ac:dyDescent="0.25">
      <c r="I502" t="str">
        <f t="shared" si="21"/>
        <v>Unknown</v>
      </c>
      <c r="J502" t="str">
        <f t="shared" si="22"/>
        <v>Other</v>
      </c>
      <c r="K502" s="3">
        <f t="shared" si="23"/>
        <v>0</v>
      </c>
    </row>
    <row r="503" spans="9:11" x14ac:dyDescent="0.25">
      <c r="I503" t="str">
        <f t="shared" si="21"/>
        <v>Unknown</v>
      </c>
      <c r="J503" t="str">
        <f t="shared" si="22"/>
        <v>Other</v>
      </c>
      <c r="K503" s="3">
        <f t="shared" si="23"/>
        <v>0</v>
      </c>
    </row>
    <row r="504" spans="9:11" x14ac:dyDescent="0.25">
      <c r="I504" t="str">
        <f t="shared" si="21"/>
        <v>Unknown</v>
      </c>
      <c r="J504" t="str">
        <f t="shared" si="22"/>
        <v>Other</v>
      </c>
      <c r="K504" s="3">
        <f t="shared" si="23"/>
        <v>0</v>
      </c>
    </row>
    <row r="505" spans="9:11" x14ac:dyDescent="0.25">
      <c r="I505" t="str">
        <f t="shared" si="21"/>
        <v>Unknown</v>
      </c>
      <c r="J505" t="str">
        <f t="shared" si="22"/>
        <v>Other</v>
      </c>
      <c r="K505" s="3">
        <f t="shared" si="23"/>
        <v>0</v>
      </c>
    </row>
    <row r="506" spans="9:11" x14ac:dyDescent="0.25">
      <c r="I506" t="str">
        <f t="shared" si="21"/>
        <v>Unknown</v>
      </c>
      <c r="J506" t="str">
        <f t="shared" si="22"/>
        <v>Other</v>
      </c>
      <c r="K506" s="3">
        <f t="shared" si="23"/>
        <v>0</v>
      </c>
    </row>
    <row r="507" spans="9:11" x14ac:dyDescent="0.25">
      <c r="I507" t="str">
        <f t="shared" si="21"/>
        <v>Unknown</v>
      </c>
      <c r="J507" t="str">
        <f t="shared" si="22"/>
        <v>Other</v>
      </c>
      <c r="K507" s="3">
        <f t="shared" si="23"/>
        <v>0</v>
      </c>
    </row>
    <row r="508" spans="9:11" x14ac:dyDescent="0.25">
      <c r="I508" t="str">
        <f t="shared" si="21"/>
        <v>Unknown</v>
      </c>
      <c r="J508" t="str">
        <f t="shared" si="22"/>
        <v>Other</v>
      </c>
      <c r="K508" s="3">
        <f t="shared" si="23"/>
        <v>0</v>
      </c>
    </row>
    <row r="509" spans="9:11" x14ac:dyDescent="0.25">
      <c r="I509" t="str">
        <f t="shared" si="21"/>
        <v>Unknown</v>
      </c>
      <c r="J509" t="str">
        <f t="shared" si="22"/>
        <v>Other</v>
      </c>
      <c r="K509" s="3">
        <f t="shared" si="23"/>
        <v>0</v>
      </c>
    </row>
    <row r="510" spans="9:11" x14ac:dyDescent="0.25">
      <c r="I510" t="str">
        <f t="shared" si="21"/>
        <v>Unknown</v>
      </c>
      <c r="J510" t="str">
        <f t="shared" si="22"/>
        <v>Other</v>
      </c>
      <c r="K510" s="3">
        <f t="shared" si="23"/>
        <v>0</v>
      </c>
    </row>
    <row r="511" spans="9:11" x14ac:dyDescent="0.25">
      <c r="I511" t="str">
        <f t="shared" si="21"/>
        <v>Unknown</v>
      </c>
      <c r="J511" t="str">
        <f t="shared" si="22"/>
        <v>Other</v>
      </c>
      <c r="K511" s="3">
        <f t="shared" si="23"/>
        <v>0</v>
      </c>
    </row>
    <row r="512" spans="9:11" x14ac:dyDescent="0.25">
      <c r="I512" t="str">
        <f t="shared" si="21"/>
        <v>Unknown</v>
      </c>
      <c r="J512" t="str">
        <f t="shared" si="22"/>
        <v>Other</v>
      </c>
      <c r="K512" s="3">
        <f t="shared" si="23"/>
        <v>0</v>
      </c>
    </row>
    <row r="513" spans="9:11" x14ac:dyDescent="0.25">
      <c r="I513" t="str">
        <f t="shared" si="21"/>
        <v>Unknown</v>
      </c>
      <c r="J513" t="str">
        <f t="shared" si="22"/>
        <v>Other</v>
      </c>
      <c r="K513" s="3">
        <f t="shared" si="23"/>
        <v>0</v>
      </c>
    </row>
    <row r="514" spans="9:11" x14ac:dyDescent="0.25">
      <c r="I514" t="str">
        <f t="shared" ref="I514:I577" si="24">IF(ISNUMBER(SEARCH("kirk",F514)),"Kirk",IF(ISNUMBER(SEARCH("justin",F514)),"Justin",IF(ISNUMBER(SEARCH("reyna",F514)),"Reyna","Unknown")))</f>
        <v>Unknown</v>
      </c>
      <c r="J514" t="str">
        <f t="shared" ref="J514:J577" si="25">IF(ISNUMBER(SEARCH("onboard",F514)),"Onboarded",IF(ISNUMBER(SEARCH("referr",F514)),"Referral",IF(ISNUMBER(SEARCH("transfer",F514)),"Transfer","Other")))</f>
        <v>Other</v>
      </c>
      <c r="K514" s="3">
        <f t="shared" ref="K514:K577" si="26">IF(AND(I514="Kirk",J514="Onboarded"),3,IF(AND(I514="Kirk",J514="Referral"),2,IF(AND(I514="Kirk",J514="Transfer"),2,IF(AND(I514="Justin",J514="Onboarded"),3,IF(AND(I514="Justin",J514="Referral"),2,IF(AND(I514="Justin",J514="Transfer"),2,IF(AND(I514="Reyna",J514="Onboarded"),3,IF(AND(I514="Reyna",J514="Referral"),2,IF(AND(I514="Reyna",J514="Transfer"),2,0)))))))))</f>
        <v>0</v>
      </c>
    </row>
    <row r="515" spans="9:11" x14ac:dyDescent="0.25">
      <c r="I515" t="str">
        <f t="shared" si="24"/>
        <v>Unknown</v>
      </c>
      <c r="J515" t="str">
        <f t="shared" si="25"/>
        <v>Other</v>
      </c>
      <c r="K515" s="3">
        <f t="shared" si="26"/>
        <v>0</v>
      </c>
    </row>
    <row r="516" spans="9:11" x14ac:dyDescent="0.25">
      <c r="I516" t="str">
        <f t="shared" si="24"/>
        <v>Unknown</v>
      </c>
      <c r="J516" t="str">
        <f t="shared" si="25"/>
        <v>Other</v>
      </c>
      <c r="K516" s="3">
        <f t="shared" si="26"/>
        <v>0</v>
      </c>
    </row>
    <row r="517" spans="9:11" x14ac:dyDescent="0.25">
      <c r="I517" t="str">
        <f t="shared" si="24"/>
        <v>Unknown</v>
      </c>
      <c r="J517" t="str">
        <f t="shared" si="25"/>
        <v>Other</v>
      </c>
      <c r="K517" s="3">
        <f t="shared" si="26"/>
        <v>0</v>
      </c>
    </row>
    <row r="518" spans="9:11" x14ac:dyDescent="0.25">
      <c r="I518" t="str">
        <f t="shared" si="24"/>
        <v>Unknown</v>
      </c>
      <c r="J518" t="str">
        <f t="shared" si="25"/>
        <v>Other</v>
      </c>
      <c r="K518" s="3">
        <f t="shared" si="26"/>
        <v>0</v>
      </c>
    </row>
    <row r="519" spans="9:11" x14ac:dyDescent="0.25">
      <c r="I519" t="str">
        <f t="shared" si="24"/>
        <v>Unknown</v>
      </c>
      <c r="J519" t="str">
        <f t="shared" si="25"/>
        <v>Other</v>
      </c>
      <c r="K519" s="3">
        <f t="shared" si="26"/>
        <v>0</v>
      </c>
    </row>
    <row r="520" spans="9:11" x14ac:dyDescent="0.25">
      <c r="I520" t="str">
        <f t="shared" si="24"/>
        <v>Unknown</v>
      </c>
      <c r="J520" t="str">
        <f t="shared" si="25"/>
        <v>Other</v>
      </c>
      <c r="K520" s="3">
        <f t="shared" si="26"/>
        <v>0</v>
      </c>
    </row>
    <row r="521" spans="9:11" x14ac:dyDescent="0.25">
      <c r="I521" t="str">
        <f t="shared" si="24"/>
        <v>Unknown</v>
      </c>
      <c r="J521" t="str">
        <f t="shared" si="25"/>
        <v>Other</v>
      </c>
      <c r="K521" s="3">
        <f t="shared" si="26"/>
        <v>0</v>
      </c>
    </row>
    <row r="522" spans="9:11" x14ac:dyDescent="0.25">
      <c r="I522" t="str">
        <f t="shared" si="24"/>
        <v>Unknown</v>
      </c>
      <c r="J522" t="str">
        <f t="shared" si="25"/>
        <v>Other</v>
      </c>
      <c r="K522" s="3">
        <f t="shared" si="26"/>
        <v>0</v>
      </c>
    </row>
    <row r="523" spans="9:11" x14ac:dyDescent="0.25">
      <c r="I523" t="str">
        <f t="shared" si="24"/>
        <v>Unknown</v>
      </c>
      <c r="J523" t="str">
        <f t="shared" si="25"/>
        <v>Other</v>
      </c>
      <c r="K523" s="3">
        <f t="shared" si="26"/>
        <v>0</v>
      </c>
    </row>
    <row r="524" spans="9:11" x14ac:dyDescent="0.25">
      <c r="I524" t="str">
        <f t="shared" si="24"/>
        <v>Unknown</v>
      </c>
      <c r="J524" t="str">
        <f t="shared" si="25"/>
        <v>Other</v>
      </c>
      <c r="K524" s="3">
        <f t="shared" si="26"/>
        <v>0</v>
      </c>
    </row>
    <row r="525" spans="9:11" x14ac:dyDescent="0.25">
      <c r="I525" t="str">
        <f t="shared" si="24"/>
        <v>Unknown</v>
      </c>
      <c r="J525" t="str">
        <f t="shared" si="25"/>
        <v>Other</v>
      </c>
      <c r="K525" s="3">
        <f t="shared" si="26"/>
        <v>0</v>
      </c>
    </row>
    <row r="526" spans="9:11" x14ac:dyDescent="0.25">
      <c r="I526" t="str">
        <f t="shared" si="24"/>
        <v>Unknown</v>
      </c>
      <c r="J526" t="str">
        <f t="shared" si="25"/>
        <v>Other</v>
      </c>
      <c r="K526" s="3">
        <f t="shared" si="26"/>
        <v>0</v>
      </c>
    </row>
    <row r="527" spans="9:11" x14ac:dyDescent="0.25">
      <c r="I527" t="str">
        <f t="shared" si="24"/>
        <v>Unknown</v>
      </c>
      <c r="J527" t="str">
        <f t="shared" si="25"/>
        <v>Other</v>
      </c>
      <c r="K527" s="3">
        <f t="shared" si="26"/>
        <v>0</v>
      </c>
    </row>
    <row r="528" spans="9:11" x14ac:dyDescent="0.25">
      <c r="I528" t="str">
        <f t="shared" si="24"/>
        <v>Unknown</v>
      </c>
      <c r="J528" t="str">
        <f t="shared" si="25"/>
        <v>Other</v>
      </c>
      <c r="K528" s="3">
        <f t="shared" si="26"/>
        <v>0</v>
      </c>
    </row>
    <row r="529" spans="9:11" x14ac:dyDescent="0.25">
      <c r="I529" t="str">
        <f t="shared" si="24"/>
        <v>Unknown</v>
      </c>
      <c r="J529" t="str">
        <f t="shared" si="25"/>
        <v>Other</v>
      </c>
      <c r="K529" s="3">
        <f t="shared" si="26"/>
        <v>0</v>
      </c>
    </row>
    <row r="530" spans="9:11" x14ac:dyDescent="0.25">
      <c r="I530" t="str">
        <f t="shared" si="24"/>
        <v>Unknown</v>
      </c>
      <c r="J530" t="str">
        <f t="shared" si="25"/>
        <v>Other</v>
      </c>
      <c r="K530" s="3">
        <f t="shared" si="26"/>
        <v>0</v>
      </c>
    </row>
    <row r="531" spans="9:11" x14ac:dyDescent="0.25">
      <c r="I531" t="str">
        <f t="shared" si="24"/>
        <v>Unknown</v>
      </c>
      <c r="J531" t="str">
        <f t="shared" si="25"/>
        <v>Other</v>
      </c>
      <c r="K531" s="3">
        <f t="shared" si="26"/>
        <v>0</v>
      </c>
    </row>
    <row r="532" spans="9:11" x14ac:dyDescent="0.25">
      <c r="I532" t="str">
        <f t="shared" si="24"/>
        <v>Unknown</v>
      </c>
      <c r="J532" t="str">
        <f t="shared" si="25"/>
        <v>Other</v>
      </c>
      <c r="K532" s="3">
        <f t="shared" si="26"/>
        <v>0</v>
      </c>
    </row>
    <row r="533" spans="9:11" x14ac:dyDescent="0.25">
      <c r="I533" t="str">
        <f t="shared" si="24"/>
        <v>Unknown</v>
      </c>
      <c r="J533" t="str">
        <f t="shared" si="25"/>
        <v>Other</v>
      </c>
      <c r="K533" s="3">
        <f t="shared" si="26"/>
        <v>0</v>
      </c>
    </row>
    <row r="534" spans="9:11" x14ac:dyDescent="0.25">
      <c r="I534" t="str">
        <f t="shared" si="24"/>
        <v>Unknown</v>
      </c>
      <c r="J534" t="str">
        <f t="shared" si="25"/>
        <v>Other</v>
      </c>
      <c r="K534" s="3">
        <f t="shared" si="26"/>
        <v>0</v>
      </c>
    </row>
    <row r="535" spans="9:11" x14ac:dyDescent="0.25">
      <c r="I535" t="str">
        <f t="shared" si="24"/>
        <v>Unknown</v>
      </c>
      <c r="J535" t="str">
        <f t="shared" si="25"/>
        <v>Other</v>
      </c>
      <c r="K535" s="3">
        <f t="shared" si="26"/>
        <v>0</v>
      </c>
    </row>
    <row r="536" spans="9:11" x14ac:dyDescent="0.25">
      <c r="I536" t="str">
        <f t="shared" si="24"/>
        <v>Unknown</v>
      </c>
      <c r="J536" t="str">
        <f t="shared" si="25"/>
        <v>Other</v>
      </c>
      <c r="K536" s="3">
        <f t="shared" si="26"/>
        <v>0</v>
      </c>
    </row>
    <row r="537" spans="9:11" x14ac:dyDescent="0.25">
      <c r="I537" t="str">
        <f t="shared" si="24"/>
        <v>Unknown</v>
      </c>
      <c r="J537" t="str">
        <f t="shared" si="25"/>
        <v>Other</v>
      </c>
      <c r="K537" s="3">
        <f t="shared" si="26"/>
        <v>0</v>
      </c>
    </row>
    <row r="538" spans="9:11" x14ac:dyDescent="0.25">
      <c r="I538" t="str">
        <f t="shared" si="24"/>
        <v>Unknown</v>
      </c>
      <c r="J538" t="str">
        <f t="shared" si="25"/>
        <v>Other</v>
      </c>
      <c r="K538" s="3">
        <f t="shared" si="26"/>
        <v>0</v>
      </c>
    </row>
    <row r="539" spans="9:11" x14ac:dyDescent="0.25">
      <c r="I539" t="str">
        <f t="shared" si="24"/>
        <v>Unknown</v>
      </c>
      <c r="J539" t="str">
        <f t="shared" si="25"/>
        <v>Other</v>
      </c>
      <c r="K539" s="3">
        <f t="shared" si="26"/>
        <v>0</v>
      </c>
    </row>
    <row r="540" spans="9:11" x14ac:dyDescent="0.25">
      <c r="I540" t="str">
        <f t="shared" si="24"/>
        <v>Unknown</v>
      </c>
      <c r="J540" t="str">
        <f t="shared" si="25"/>
        <v>Other</v>
      </c>
      <c r="K540" s="3">
        <f t="shared" si="26"/>
        <v>0</v>
      </c>
    </row>
    <row r="541" spans="9:11" x14ac:dyDescent="0.25">
      <c r="I541" t="str">
        <f t="shared" si="24"/>
        <v>Unknown</v>
      </c>
      <c r="J541" t="str">
        <f t="shared" si="25"/>
        <v>Other</v>
      </c>
      <c r="K541" s="3">
        <f t="shared" si="26"/>
        <v>0</v>
      </c>
    </row>
    <row r="542" spans="9:11" x14ac:dyDescent="0.25">
      <c r="I542" t="str">
        <f t="shared" si="24"/>
        <v>Unknown</v>
      </c>
      <c r="J542" t="str">
        <f t="shared" si="25"/>
        <v>Other</v>
      </c>
      <c r="K542" s="3">
        <f t="shared" si="26"/>
        <v>0</v>
      </c>
    </row>
    <row r="543" spans="9:11" x14ac:dyDescent="0.25">
      <c r="I543" t="str">
        <f t="shared" si="24"/>
        <v>Unknown</v>
      </c>
      <c r="J543" t="str">
        <f t="shared" si="25"/>
        <v>Other</v>
      </c>
      <c r="K543" s="3">
        <f t="shared" si="26"/>
        <v>0</v>
      </c>
    </row>
    <row r="544" spans="9:11" x14ac:dyDescent="0.25">
      <c r="I544" t="str">
        <f t="shared" si="24"/>
        <v>Unknown</v>
      </c>
      <c r="J544" t="str">
        <f t="shared" si="25"/>
        <v>Other</v>
      </c>
      <c r="K544" s="3">
        <f t="shared" si="26"/>
        <v>0</v>
      </c>
    </row>
    <row r="545" spans="9:11" x14ac:dyDescent="0.25">
      <c r="I545" t="str">
        <f t="shared" si="24"/>
        <v>Unknown</v>
      </c>
      <c r="J545" t="str">
        <f t="shared" si="25"/>
        <v>Other</v>
      </c>
      <c r="K545" s="3">
        <f t="shared" si="26"/>
        <v>0</v>
      </c>
    </row>
    <row r="546" spans="9:11" x14ac:dyDescent="0.25">
      <c r="I546" t="str">
        <f t="shared" si="24"/>
        <v>Unknown</v>
      </c>
      <c r="J546" t="str">
        <f t="shared" si="25"/>
        <v>Other</v>
      </c>
      <c r="K546" s="3">
        <f t="shared" si="26"/>
        <v>0</v>
      </c>
    </row>
    <row r="547" spans="9:11" x14ac:dyDescent="0.25">
      <c r="I547" t="str">
        <f t="shared" si="24"/>
        <v>Unknown</v>
      </c>
      <c r="J547" t="str">
        <f t="shared" si="25"/>
        <v>Other</v>
      </c>
      <c r="K547" s="3">
        <f t="shared" si="26"/>
        <v>0</v>
      </c>
    </row>
    <row r="548" spans="9:11" x14ac:dyDescent="0.25">
      <c r="I548" t="str">
        <f t="shared" si="24"/>
        <v>Unknown</v>
      </c>
      <c r="J548" t="str">
        <f t="shared" si="25"/>
        <v>Other</v>
      </c>
      <c r="K548" s="3">
        <f t="shared" si="26"/>
        <v>0</v>
      </c>
    </row>
    <row r="549" spans="9:11" x14ac:dyDescent="0.25">
      <c r="I549" t="str">
        <f t="shared" si="24"/>
        <v>Unknown</v>
      </c>
      <c r="J549" t="str">
        <f t="shared" si="25"/>
        <v>Other</v>
      </c>
      <c r="K549" s="3">
        <f t="shared" si="26"/>
        <v>0</v>
      </c>
    </row>
    <row r="550" spans="9:11" x14ac:dyDescent="0.25">
      <c r="I550" t="str">
        <f t="shared" si="24"/>
        <v>Unknown</v>
      </c>
      <c r="J550" t="str">
        <f t="shared" si="25"/>
        <v>Other</v>
      </c>
      <c r="K550" s="3">
        <f t="shared" si="26"/>
        <v>0</v>
      </c>
    </row>
    <row r="551" spans="9:11" x14ac:dyDescent="0.25">
      <c r="I551" t="str">
        <f t="shared" si="24"/>
        <v>Unknown</v>
      </c>
      <c r="J551" t="str">
        <f t="shared" si="25"/>
        <v>Other</v>
      </c>
      <c r="K551" s="3">
        <f t="shared" si="26"/>
        <v>0</v>
      </c>
    </row>
    <row r="552" spans="9:11" x14ac:dyDescent="0.25">
      <c r="I552" t="str">
        <f t="shared" si="24"/>
        <v>Unknown</v>
      </c>
      <c r="J552" t="str">
        <f t="shared" si="25"/>
        <v>Other</v>
      </c>
      <c r="K552" s="3">
        <f t="shared" si="26"/>
        <v>0</v>
      </c>
    </row>
    <row r="553" spans="9:11" x14ac:dyDescent="0.25">
      <c r="I553" t="str">
        <f t="shared" si="24"/>
        <v>Unknown</v>
      </c>
      <c r="J553" t="str">
        <f t="shared" si="25"/>
        <v>Other</v>
      </c>
      <c r="K553" s="3">
        <f t="shared" si="26"/>
        <v>0</v>
      </c>
    </row>
    <row r="554" spans="9:11" x14ac:dyDescent="0.25">
      <c r="I554" t="str">
        <f t="shared" si="24"/>
        <v>Unknown</v>
      </c>
      <c r="J554" t="str">
        <f t="shared" si="25"/>
        <v>Other</v>
      </c>
      <c r="K554" s="3">
        <f t="shared" si="26"/>
        <v>0</v>
      </c>
    </row>
    <row r="555" spans="9:11" x14ac:dyDescent="0.25">
      <c r="I555" t="str">
        <f t="shared" si="24"/>
        <v>Unknown</v>
      </c>
      <c r="J555" t="str">
        <f t="shared" si="25"/>
        <v>Other</v>
      </c>
      <c r="K555" s="3">
        <f t="shared" si="26"/>
        <v>0</v>
      </c>
    </row>
    <row r="556" spans="9:11" x14ac:dyDescent="0.25">
      <c r="I556" t="str">
        <f t="shared" si="24"/>
        <v>Unknown</v>
      </c>
      <c r="J556" t="str">
        <f t="shared" si="25"/>
        <v>Other</v>
      </c>
      <c r="K556" s="3">
        <f t="shared" si="26"/>
        <v>0</v>
      </c>
    </row>
    <row r="557" spans="9:11" x14ac:dyDescent="0.25">
      <c r="I557" t="str">
        <f t="shared" si="24"/>
        <v>Unknown</v>
      </c>
      <c r="J557" t="str">
        <f t="shared" si="25"/>
        <v>Other</v>
      </c>
      <c r="K557" s="3">
        <f t="shared" si="26"/>
        <v>0</v>
      </c>
    </row>
    <row r="558" spans="9:11" x14ac:dyDescent="0.25">
      <c r="I558" t="str">
        <f t="shared" si="24"/>
        <v>Unknown</v>
      </c>
      <c r="J558" t="str">
        <f t="shared" si="25"/>
        <v>Other</v>
      </c>
      <c r="K558" s="3">
        <f t="shared" si="26"/>
        <v>0</v>
      </c>
    </row>
    <row r="559" spans="9:11" x14ac:dyDescent="0.25">
      <c r="I559" t="str">
        <f t="shared" si="24"/>
        <v>Unknown</v>
      </c>
      <c r="J559" t="str">
        <f t="shared" si="25"/>
        <v>Other</v>
      </c>
      <c r="K559" s="3">
        <f t="shared" si="26"/>
        <v>0</v>
      </c>
    </row>
    <row r="560" spans="9:11" x14ac:dyDescent="0.25">
      <c r="I560" t="str">
        <f t="shared" si="24"/>
        <v>Unknown</v>
      </c>
      <c r="J560" t="str">
        <f t="shared" si="25"/>
        <v>Other</v>
      </c>
      <c r="K560" s="3">
        <f t="shared" si="26"/>
        <v>0</v>
      </c>
    </row>
    <row r="561" spans="9:11" x14ac:dyDescent="0.25">
      <c r="I561" t="str">
        <f t="shared" si="24"/>
        <v>Unknown</v>
      </c>
      <c r="J561" t="str">
        <f t="shared" si="25"/>
        <v>Other</v>
      </c>
      <c r="K561" s="3">
        <f t="shared" si="26"/>
        <v>0</v>
      </c>
    </row>
    <row r="562" spans="9:11" x14ac:dyDescent="0.25">
      <c r="I562" t="str">
        <f t="shared" si="24"/>
        <v>Unknown</v>
      </c>
      <c r="J562" t="str">
        <f t="shared" si="25"/>
        <v>Other</v>
      </c>
      <c r="K562" s="3">
        <f t="shared" si="26"/>
        <v>0</v>
      </c>
    </row>
    <row r="563" spans="9:11" x14ac:dyDescent="0.25">
      <c r="I563" t="str">
        <f t="shared" si="24"/>
        <v>Unknown</v>
      </c>
      <c r="J563" t="str">
        <f t="shared" si="25"/>
        <v>Other</v>
      </c>
      <c r="K563" s="3">
        <f t="shared" si="26"/>
        <v>0</v>
      </c>
    </row>
    <row r="564" spans="9:11" x14ac:dyDescent="0.25">
      <c r="I564" t="str">
        <f t="shared" si="24"/>
        <v>Unknown</v>
      </c>
      <c r="J564" t="str">
        <f t="shared" si="25"/>
        <v>Other</v>
      </c>
      <c r="K564" s="3">
        <f t="shared" si="26"/>
        <v>0</v>
      </c>
    </row>
    <row r="565" spans="9:11" x14ac:dyDescent="0.25">
      <c r="I565" t="str">
        <f t="shared" si="24"/>
        <v>Unknown</v>
      </c>
      <c r="J565" t="str">
        <f t="shared" si="25"/>
        <v>Other</v>
      </c>
      <c r="K565" s="3">
        <f t="shared" si="26"/>
        <v>0</v>
      </c>
    </row>
    <row r="566" spans="9:11" x14ac:dyDescent="0.25">
      <c r="I566" t="str">
        <f t="shared" si="24"/>
        <v>Unknown</v>
      </c>
      <c r="J566" t="str">
        <f t="shared" si="25"/>
        <v>Other</v>
      </c>
      <c r="K566" s="3">
        <f t="shared" si="26"/>
        <v>0</v>
      </c>
    </row>
    <row r="567" spans="9:11" x14ac:dyDescent="0.25">
      <c r="I567" t="str">
        <f t="shared" si="24"/>
        <v>Unknown</v>
      </c>
      <c r="J567" t="str">
        <f t="shared" si="25"/>
        <v>Other</v>
      </c>
      <c r="K567" s="3">
        <f t="shared" si="26"/>
        <v>0</v>
      </c>
    </row>
    <row r="568" spans="9:11" x14ac:dyDescent="0.25">
      <c r="I568" t="str">
        <f t="shared" si="24"/>
        <v>Unknown</v>
      </c>
      <c r="J568" t="str">
        <f t="shared" si="25"/>
        <v>Other</v>
      </c>
      <c r="K568" s="3">
        <f t="shared" si="26"/>
        <v>0</v>
      </c>
    </row>
    <row r="569" spans="9:11" x14ac:dyDescent="0.25">
      <c r="I569" t="str">
        <f t="shared" si="24"/>
        <v>Unknown</v>
      </c>
      <c r="J569" t="str">
        <f t="shared" si="25"/>
        <v>Other</v>
      </c>
      <c r="K569" s="3">
        <f t="shared" si="26"/>
        <v>0</v>
      </c>
    </row>
    <row r="570" spans="9:11" x14ac:dyDescent="0.25">
      <c r="I570" t="str">
        <f t="shared" si="24"/>
        <v>Unknown</v>
      </c>
      <c r="J570" t="str">
        <f t="shared" si="25"/>
        <v>Other</v>
      </c>
      <c r="K570" s="3">
        <f t="shared" si="26"/>
        <v>0</v>
      </c>
    </row>
    <row r="571" spans="9:11" x14ac:dyDescent="0.25">
      <c r="I571" t="str">
        <f t="shared" si="24"/>
        <v>Unknown</v>
      </c>
      <c r="J571" t="str">
        <f t="shared" si="25"/>
        <v>Other</v>
      </c>
      <c r="K571" s="3">
        <f t="shared" si="26"/>
        <v>0</v>
      </c>
    </row>
    <row r="572" spans="9:11" x14ac:dyDescent="0.25">
      <c r="I572" t="str">
        <f t="shared" si="24"/>
        <v>Unknown</v>
      </c>
      <c r="J572" t="str">
        <f t="shared" si="25"/>
        <v>Other</v>
      </c>
      <c r="K572" s="3">
        <f t="shared" si="26"/>
        <v>0</v>
      </c>
    </row>
    <row r="573" spans="9:11" x14ac:dyDescent="0.25">
      <c r="I573" t="str">
        <f t="shared" si="24"/>
        <v>Unknown</v>
      </c>
      <c r="J573" t="str">
        <f t="shared" si="25"/>
        <v>Other</v>
      </c>
      <c r="K573" s="3">
        <f t="shared" si="26"/>
        <v>0</v>
      </c>
    </row>
    <row r="574" spans="9:11" x14ac:dyDescent="0.25">
      <c r="I574" t="str">
        <f t="shared" si="24"/>
        <v>Unknown</v>
      </c>
      <c r="J574" t="str">
        <f t="shared" si="25"/>
        <v>Other</v>
      </c>
      <c r="K574" s="3">
        <f t="shared" si="26"/>
        <v>0</v>
      </c>
    </row>
    <row r="575" spans="9:11" x14ac:dyDescent="0.25">
      <c r="I575" t="str">
        <f t="shared" si="24"/>
        <v>Unknown</v>
      </c>
      <c r="J575" t="str">
        <f t="shared" si="25"/>
        <v>Other</v>
      </c>
      <c r="K575" s="3">
        <f t="shared" si="26"/>
        <v>0</v>
      </c>
    </row>
    <row r="576" spans="9:11" x14ac:dyDescent="0.25">
      <c r="I576" t="str">
        <f t="shared" si="24"/>
        <v>Unknown</v>
      </c>
      <c r="J576" t="str">
        <f t="shared" si="25"/>
        <v>Other</v>
      </c>
      <c r="K576" s="3">
        <f t="shared" si="26"/>
        <v>0</v>
      </c>
    </row>
    <row r="577" spans="9:11" x14ac:dyDescent="0.25">
      <c r="I577" t="str">
        <f t="shared" si="24"/>
        <v>Unknown</v>
      </c>
      <c r="J577" t="str">
        <f t="shared" si="25"/>
        <v>Other</v>
      </c>
      <c r="K577" s="3">
        <f t="shared" si="26"/>
        <v>0</v>
      </c>
    </row>
    <row r="578" spans="9:11" x14ac:dyDescent="0.25">
      <c r="I578" t="str">
        <f t="shared" ref="I578:I641" si="27">IF(ISNUMBER(SEARCH("kirk",F578)),"Kirk",IF(ISNUMBER(SEARCH("justin",F578)),"Justin",IF(ISNUMBER(SEARCH("reyna",F578)),"Reyna","Unknown")))</f>
        <v>Unknown</v>
      </c>
      <c r="J578" t="str">
        <f t="shared" ref="J578:J641" si="28">IF(ISNUMBER(SEARCH("onboard",F578)),"Onboarded",IF(ISNUMBER(SEARCH("referr",F578)),"Referral",IF(ISNUMBER(SEARCH("transfer",F578)),"Transfer","Other")))</f>
        <v>Other</v>
      </c>
      <c r="K578" s="3">
        <f t="shared" ref="K578:K641" si="29">IF(AND(I578="Kirk",J578="Onboarded"),3,IF(AND(I578="Kirk",J578="Referral"),2,IF(AND(I578="Kirk",J578="Transfer"),2,IF(AND(I578="Justin",J578="Onboarded"),3,IF(AND(I578="Justin",J578="Referral"),2,IF(AND(I578="Justin",J578="Transfer"),2,IF(AND(I578="Reyna",J578="Onboarded"),3,IF(AND(I578="Reyna",J578="Referral"),2,IF(AND(I578="Reyna",J578="Transfer"),2,0)))))))))</f>
        <v>0</v>
      </c>
    </row>
    <row r="579" spans="9:11" x14ac:dyDescent="0.25">
      <c r="I579" t="str">
        <f t="shared" si="27"/>
        <v>Unknown</v>
      </c>
      <c r="J579" t="str">
        <f t="shared" si="28"/>
        <v>Other</v>
      </c>
      <c r="K579" s="3">
        <f t="shared" si="29"/>
        <v>0</v>
      </c>
    </row>
    <row r="580" spans="9:11" x14ac:dyDescent="0.25">
      <c r="I580" t="str">
        <f t="shared" si="27"/>
        <v>Unknown</v>
      </c>
      <c r="J580" t="str">
        <f t="shared" si="28"/>
        <v>Other</v>
      </c>
      <c r="K580" s="3">
        <f t="shared" si="29"/>
        <v>0</v>
      </c>
    </row>
    <row r="581" spans="9:11" x14ac:dyDescent="0.25">
      <c r="I581" t="str">
        <f t="shared" si="27"/>
        <v>Unknown</v>
      </c>
      <c r="J581" t="str">
        <f t="shared" si="28"/>
        <v>Other</v>
      </c>
      <c r="K581" s="3">
        <f t="shared" si="29"/>
        <v>0</v>
      </c>
    </row>
    <row r="582" spans="9:11" x14ac:dyDescent="0.25">
      <c r="I582" t="str">
        <f t="shared" si="27"/>
        <v>Unknown</v>
      </c>
      <c r="J582" t="str">
        <f t="shared" si="28"/>
        <v>Other</v>
      </c>
      <c r="K582" s="3">
        <f t="shared" si="29"/>
        <v>0</v>
      </c>
    </row>
    <row r="583" spans="9:11" x14ac:dyDescent="0.25">
      <c r="I583" t="str">
        <f t="shared" si="27"/>
        <v>Unknown</v>
      </c>
      <c r="J583" t="str">
        <f t="shared" si="28"/>
        <v>Other</v>
      </c>
      <c r="K583" s="3">
        <f t="shared" si="29"/>
        <v>0</v>
      </c>
    </row>
    <row r="584" spans="9:11" x14ac:dyDescent="0.25">
      <c r="I584" t="str">
        <f t="shared" si="27"/>
        <v>Unknown</v>
      </c>
      <c r="J584" t="str">
        <f t="shared" si="28"/>
        <v>Other</v>
      </c>
      <c r="K584" s="3">
        <f t="shared" si="29"/>
        <v>0</v>
      </c>
    </row>
    <row r="585" spans="9:11" x14ac:dyDescent="0.25">
      <c r="I585" t="str">
        <f t="shared" si="27"/>
        <v>Unknown</v>
      </c>
      <c r="J585" t="str">
        <f t="shared" si="28"/>
        <v>Other</v>
      </c>
      <c r="K585" s="3">
        <f t="shared" si="29"/>
        <v>0</v>
      </c>
    </row>
    <row r="586" spans="9:11" x14ac:dyDescent="0.25">
      <c r="I586" t="str">
        <f t="shared" si="27"/>
        <v>Unknown</v>
      </c>
      <c r="J586" t="str">
        <f t="shared" si="28"/>
        <v>Other</v>
      </c>
      <c r="K586" s="3">
        <f t="shared" si="29"/>
        <v>0</v>
      </c>
    </row>
    <row r="587" spans="9:11" x14ac:dyDescent="0.25">
      <c r="I587" t="str">
        <f t="shared" si="27"/>
        <v>Unknown</v>
      </c>
      <c r="J587" t="str">
        <f t="shared" si="28"/>
        <v>Other</v>
      </c>
      <c r="K587" s="3">
        <f t="shared" si="29"/>
        <v>0</v>
      </c>
    </row>
    <row r="588" spans="9:11" x14ac:dyDescent="0.25">
      <c r="I588" t="str">
        <f t="shared" si="27"/>
        <v>Unknown</v>
      </c>
      <c r="J588" t="str">
        <f t="shared" si="28"/>
        <v>Other</v>
      </c>
      <c r="K588" s="3">
        <f t="shared" si="29"/>
        <v>0</v>
      </c>
    </row>
    <row r="589" spans="9:11" x14ac:dyDescent="0.25">
      <c r="I589" t="str">
        <f t="shared" si="27"/>
        <v>Unknown</v>
      </c>
      <c r="J589" t="str">
        <f t="shared" si="28"/>
        <v>Other</v>
      </c>
      <c r="K589" s="3">
        <f t="shared" si="29"/>
        <v>0</v>
      </c>
    </row>
    <row r="590" spans="9:11" x14ac:dyDescent="0.25">
      <c r="I590" t="str">
        <f t="shared" si="27"/>
        <v>Unknown</v>
      </c>
      <c r="J590" t="str">
        <f t="shared" si="28"/>
        <v>Other</v>
      </c>
      <c r="K590" s="3">
        <f t="shared" si="29"/>
        <v>0</v>
      </c>
    </row>
    <row r="591" spans="9:11" x14ac:dyDescent="0.25">
      <c r="I591" t="str">
        <f t="shared" si="27"/>
        <v>Unknown</v>
      </c>
      <c r="J591" t="str">
        <f t="shared" si="28"/>
        <v>Other</v>
      </c>
      <c r="K591" s="3">
        <f t="shared" si="29"/>
        <v>0</v>
      </c>
    </row>
    <row r="592" spans="9:11" x14ac:dyDescent="0.25">
      <c r="I592" t="str">
        <f t="shared" si="27"/>
        <v>Unknown</v>
      </c>
      <c r="J592" t="str">
        <f t="shared" si="28"/>
        <v>Other</v>
      </c>
      <c r="K592" s="3">
        <f t="shared" si="29"/>
        <v>0</v>
      </c>
    </row>
    <row r="593" spans="9:11" x14ac:dyDescent="0.25">
      <c r="I593" t="str">
        <f t="shared" si="27"/>
        <v>Unknown</v>
      </c>
      <c r="J593" t="str">
        <f t="shared" si="28"/>
        <v>Other</v>
      </c>
      <c r="K593" s="3">
        <f t="shared" si="29"/>
        <v>0</v>
      </c>
    </row>
    <row r="594" spans="9:11" x14ac:dyDescent="0.25">
      <c r="I594" t="str">
        <f t="shared" si="27"/>
        <v>Unknown</v>
      </c>
      <c r="J594" t="str">
        <f t="shared" si="28"/>
        <v>Other</v>
      </c>
      <c r="K594" s="3">
        <f t="shared" si="29"/>
        <v>0</v>
      </c>
    </row>
    <row r="595" spans="9:11" x14ac:dyDescent="0.25">
      <c r="I595" t="str">
        <f t="shared" si="27"/>
        <v>Unknown</v>
      </c>
      <c r="J595" t="str">
        <f t="shared" si="28"/>
        <v>Other</v>
      </c>
      <c r="K595" s="3">
        <f t="shared" si="29"/>
        <v>0</v>
      </c>
    </row>
    <row r="596" spans="9:11" x14ac:dyDescent="0.25">
      <c r="I596" t="str">
        <f t="shared" si="27"/>
        <v>Unknown</v>
      </c>
      <c r="J596" t="str">
        <f t="shared" si="28"/>
        <v>Other</v>
      </c>
      <c r="K596" s="3">
        <f t="shared" si="29"/>
        <v>0</v>
      </c>
    </row>
    <row r="597" spans="9:11" x14ac:dyDescent="0.25">
      <c r="I597" t="str">
        <f t="shared" si="27"/>
        <v>Unknown</v>
      </c>
      <c r="J597" t="str">
        <f t="shared" si="28"/>
        <v>Other</v>
      </c>
      <c r="K597" s="3">
        <f t="shared" si="29"/>
        <v>0</v>
      </c>
    </row>
    <row r="598" spans="9:11" x14ac:dyDescent="0.25">
      <c r="I598" t="str">
        <f t="shared" si="27"/>
        <v>Unknown</v>
      </c>
      <c r="J598" t="str">
        <f t="shared" si="28"/>
        <v>Other</v>
      </c>
      <c r="K598" s="3">
        <f t="shared" si="29"/>
        <v>0</v>
      </c>
    </row>
    <row r="599" spans="9:11" x14ac:dyDescent="0.25">
      <c r="I599" t="str">
        <f t="shared" si="27"/>
        <v>Unknown</v>
      </c>
      <c r="J599" t="str">
        <f t="shared" si="28"/>
        <v>Other</v>
      </c>
      <c r="K599" s="3">
        <f t="shared" si="29"/>
        <v>0</v>
      </c>
    </row>
    <row r="600" spans="9:11" x14ac:dyDescent="0.25">
      <c r="I600" t="str">
        <f t="shared" si="27"/>
        <v>Unknown</v>
      </c>
      <c r="J600" t="str">
        <f t="shared" si="28"/>
        <v>Other</v>
      </c>
      <c r="K600" s="3">
        <f t="shared" si="29"/>
        <v>0</v>
      </c>
    </row>
    <row r="601" spans="9:11" x14ac:dyDescent="0.25">
      <c r="I601" t="str">
        <f t="shared" si="27"/>
        <v>Unknown</v>
      </c>
      <c r="J601" t="str">
        <f t="shared" si="28"/>
        <v>Other</v>
      </c>
      <c r="K601" s="3">
        <f t="shared" si="29"/>
        <v>0</v>
      </c>
    </row>
    <row r="602" spans="9:11" x14ac:dyDescent="0.25">
      <c r="I602" t="str">
        <f t="shared" si="27"/>
        <v>Unknown</v>
      </c>
      <c r="J602" t="str">
        <f t="shared" si="28"/>
        <v>Other</v>
      </c>
      <c r="K602" s="3">
        <f t="shared" si="29"/>
        <v>0</v>
      </c>
    </row>
    <row r="603" spans="9:11" x14ac:dyDescent="0.25">
      <c r="I603" t="str">
        <f t="shared" si="27"/>
        <v>Unknown</v>
      </c>
      <c r="J603" t="str">
        <f t="shared" si="28"/>
        <v>Other</v>
      </c>
      <c r="K603" s="3">
        <f t="shared" si="29"/>
        <v>0</v>
      </c>
    </row>
    <row r="604" spans="9:11" x14ac:dyDescent="0.25">
      <c r="I604" t="str">
        <f t="shared" si="27"/>
        <v>Unknown</v>
      </c>
      <c r="J604" t="str">
        <f t="shared" si="28"/>
        <v>Other</v>
      </c>
      <c r="K604" s="3">
        <f t="shared" si="29"/>
        <v>0</v>
      </c>
    </row>
    <row r="605" spans="9:11" x14ac:dyDescent="0.25">
      <c r="I605" t="str">
        <f t="shared" si="27"/>
        <v>Unknown</v>
      </c>
      <c r="J605" t="str">
        <f t="shared" si="28"/>
        <v>Other</v>
      </c>
      <c r="K605" s="3">
        <f t="shared" si="29"/>
        <v>0</v>
      </c>
    </row>
    <row r="606" spans="9:11" x14ac:dyDescent="0.25">
      <c r="I606" t="str">
        <f t="shared" si="27"/>
        <v>Unknown</v>
      </c>
      <c r="J606" t="str">
        <f t="shared" si="28"/>
        <v>Other</v>
      </c>
      <c r="K606" s="3">
        <f t="shared" si="29"/>
        <v>0</v>
      </c>
    </row>
    <row r="607" spans="9:11" x14ac:dyDescent="0.25">
      <c r="I607" t="str">
        <f t="shared" si="27"/>
        <v>Unknown</v>
      </c>
      <c r="J607" t="str">
        <f t="shared" si="28"/>
        <v>Other</v>
      </c>
      <c r="K607" s="3">
        <f t="shared" si="29"/>
        <v>0</v>
      </c>
    </row>
    <row r="608" spans="9:11" x14ac:dyDescent="0.25">
      <c r="I608" t="str">
        <f t="shared" si="27"/>
        <v>Unknown</v>
      </c>
      <c r="J608" t="str">
        <f t="shared" si="28"/>
        <v>Other</v>
      </c>
      <c r="K608" s="3">
        <f t="shared" si="29"/>
        <v>0</v>
      </c>
    </row>
    <row r="609" spans="9:11" x14ac:dyDescent="0.25">
      <c r="I609" t="str">
        <f t="shared" si="27"/>
        <v>Unknown</v>
      </c>
      <c r="J609" t="str">
        <f t="shared" si="28"/>
        <v>Other</v>
      </c>
      <c r="K609" s="3">
        <f t="shared" si="29"/>
        <v>0</v>
      </c>
    </row>
    <row r="610" spans="9:11" x14ac:dyDescent="0.25">
      <c r="I610" t="str">
        <f t="shared" si="27"/>
        <v>Unknown</v>
      </c>
      <c r="J610" t="str">
        <f t="shared" si="28"/>
        <v>Other</v>
      </c>
      <c r="K610" s="3">
        <f t="shared" si="29"/>
        <v>0</v>
      </c>
    </row>
    <row r="611" spans="9:11" x14ac:dyDescent="0.25">
      <c r="I611" t="str">
        <f t="shared" si="27"/>
        <v>Unknown</v>
      </c>
      <c r="J611" t="str">
        <f t="shared" si="28"/>
        <v>Other</v>
      </c>
      <c r="K611" s="3">
        <f t="shared" si="29"/>
        <v>0</v>
      </c>
    </row>
    <row r="612" spans="9:11" x14ac:dyDescent="0.25">
      <c r="I612" t="str">
        <f t="shared" si="27"/>
        <v>Unknown</v>
      </c>
      <c r="J612" t="str">
        <f t="shared" si="28"/>
        <v>Other</v>
      </c>
      <c r="K612" s="3">
        <f t="shared" si="29"/>
        <v>0</v>
      </c>
    </row>
    <row r="613" spans="9:11" x14ac:dyDescent="0.25">
      <c r="I613" t="str">
        <f t="shared" si="27"/>
        <v>Unknown</v>
      </c>
      <c r="J613" t="str">
        <f t="shared" si="28"/>
        <v>Other</v>
      </c>
      <c r="K613" s="3">
        <f t="shared" si="29"/>
        <v>0</v>
      </c>
    </row>
    <row r="614" spans="9:11" x14ac:dyDescent="0.25">
      <c r="I614" t="str">
        <f t="shared" si="27"/>
        <v>Unknown</v>
      </c>
      <c r="J614" t="str">
        <f t="shared" si="28"/>
        <v>Other</v>
      </c>
      <c r="K614" s="3">
        <f t="shared" si="29"/>
        <v>0</v>
      </c>
    </row>
    <row r="615" spans="9:11" x14ac:dyDescent="0.25">
      <c r="I615" t="str">
        <f t="shared" si="27"/>
        <v>Unknown</v>
      </c>
      <c r="J615" t="str">
        <f t="shared" si="28"/>
        <v>Other</v>
      </c>
      <c r="K615" s="3">
        <f t="shared" si="29"/>
        <v>0</v>
      </c>
    </row>
    <row r="616" spans="9:11" x14ac:dyDescent="0.25">
      <c r="I616" t="str">
        <f t="shared" si="27"/>
        <v>Unknown</v>
      </c>
      <c r="J616" t="str">
        <f t="shared" si="28"/>
        <v>Other</v>
      </c>
      <c r="K616" s="3">
        <f t="shared" si="29"/>
        <v>0</v>
      </c>
    </row>
    <row r="617" spans="9:11" x14ac:dyDescent="0.25">
      <c r="I617" t="str">
        <f t="shared" si="27"/>
        <v>Unknown</v>
      </c>
      <c r="J617" t="str">
        <f t="shared" si="28"/>
        <v>Other</v>
      </c>
      <c r="K617" s="3">
        <f t="shared" si="29"/>
        <v>0</v>
      </c>
    </row>
    <row r="618" spans="9:11" x14ac:dyDescent="0.25">
      <c r="I618" t="str">
        <f t="shared" si="27"/>
        <v>Unknown</v>
      </c>
      <c r="J618" t="str">
        <f t="shared" si="28"/>
        <v>Other</v>
      </c>
      <c r="K618" s="3">
        <f t="shared" si="29"/>
        <v>0</v>
      </c>
    </row>
    <row r="619" spans="9:11" x14ac:dyDescent="0.25">
      <c r="I619" t="str">
        <f t="shared" si="27"/>
        <v>Unknown</v>
      </c>
      <c r="J619" t="str">
        <f t="shared" si="28"/>
        <v>Other</v>
      </c>
      <c r="K619" s="3">
        <f t="shared" si="29"/>
        <v>0</v>
      </c>
    </row>
    <row r="620" spans="9:11" x14ac:dyDescent="0.25">
      <c r="I620" t="str">
        <f t="shared" si="27"/>
        <v>Unknown</v>
      </c>
      <c r="J620" t="str">
        <f t="shared" si="28"/>
        <v>Other</v>
      </c>
      <c r="K620" s="3">
        <f t="shared" si="29"/>
        <v>0</v>
      </c>
    </row>
    <row r="621" spans="9:11" x14ac:dyDescent="0.25">
      <c r="I621" t="str">
        <f t="shared" si="27"/>
        <v>Unknown</v>
      </c>
      <c r="J621" t="str">
        <f t="shared" si="28"/>
        <v>Other</v>
      </c>
      <c r="K621" s="3">
        <f t="shared" si="29"/>
        <v>0</v>
      </c>
    </row>
    <row r="622" spans="9:11" x14ac:dyDescent="0.25">
      <c r="I622" t="str">
        <f t="shared" si="27"/>
        <v>Unknown</v>
      </c>
      <c r="J622" t="str">
        <f t="shared" si="28"/>
        <v>Other</v>
      </c>
      <c r="K622" s="3">
        <f t="shared" si="29"/>
        <v>0</v>
      </c>
    </row>
    <row r="623" spans="9:11" x14ac:dyDescent="0.25">
      <c r="I623" t="str">
        <f t="shared" si="27"/>
        <v>Unknown</v>
      </c>
      <c r="J623" t="str">
        <f t="shared" si="28"/>
        <v>Other</v>
      </c>
      <c r="K623" s="3">
        <f t="shared" si="29"/>
        <v>0</v>
      </c>
    </row>
    <row r="624" spans="9:11" x14ac:dyDescent="0.25">
      <c r="I624" t="str">
        <f t="shared" si="27"/>
        <v>Unknown</v>
      </c>
      <c r="J624" t="str">
        <f t="shared" si="28"/>
        <v>Other</v>
      </c>
      <c r="K624" s="3">
        <f t="shared" si="29"/>
        <v>0</v>
      </c>
    </row>
    <row r="625" spans="9:11" x14ac:dyDescent="0.25">
      <c r="I625" t="str">
        <f t="shared" si="27"/>
        <v>Unknown</v>
      </c>
      <c r="J625" t="str">
        <f t="shared" si="28"/>
        <v>Other</v>
      </c>
      <c r="K625" s="3">
        <f t="shared" si="29"/>
        <v>0</v>
      </c>
    </row>
    <row r="626" spans="9:11" x14ac:dyDescent="0.25">
      <c r="I626" t="str">
        <f t="shared" si="27"/>
        <v>Unknown</v>
      </c>
      <c r="J626" t="str">
        <f t="shared" si="28"/>
        <v>Other</v>
      </c>
      <c r="K626" s="3">
        <f t="shared" si="29"/>
        <v>0</v>
      </c>
    </row>
    <row r="627" spans="9:11" x14ac:dyDescent="0.25">
      <c r="I627" t="str">
        <f t="shared" si="27"/>
        <v>Unknown</v>
      </c>
      <c r="J627" t="str">
        <f t="shared" si="28"/>
        <v>Other</v>
      </c>
      <c r="K627" s="3">
        <f t="shared" si="29"/>
        <v>0</v>
      </c>
    </row>
    <row r="628" spans="9:11" x14ac:dyDescent="0.25">
      <c r="I628" t="str">
        <f t="shared" si="27"/>
        <v>Unknown</v>
      </c>
      <c r="J628" t="str">
        <f t="shared" si="28"/>
        <v>Other</v>
      </c>
      <c r="K628" s="3">
        <f t="shared" si="29"/>
        <v>0</v>
      </c>
    </row>
    <row r="629" spans="9:11" x14ac:dyDescent="0.25">
      <c r="I629" t="str">
        <f t="shared" si="27"/>
        <v>Unknown</v>
      </c>
      <c r="J629" t="str">
        <f t="shared" si="28"/>
        <v>Other</v>
      </c>
      <c r="K629" s="3">
        <f t="shared" si="29"/>
        <v>0</v>
      </c>
    </row>
    <row r="630" spans="9:11" x14ac:dyDescent="0.25">
      <c r="I630" t="str">
        <f t="shared" si="27"/>
        <v>Unknown</v>
      </c>
      <c r="J630" t="str">
        <f t="shared" si="28"/>
        <v>Other</v>
      </c>
      <c r="K630" s="3">
        <f t="shared" si="29"/>
        <v>0</v>
      </c>
    </row>
    <row r="631" spans="9:11" x14ac:dyDescent="0.25">
      <c r="I631" t="str">
        <f t="shared" si="27"/>
        <v>Unknown</v>
      </c>
      <c r="J631" t="str">
        <f t="shared" si="28"/>
        <v>Other</v>
      </c>
      <c r="K631" s="3">
        <f t="shared" si="29"/>
        <v>0</v>
      </c>
    </row>
    <row r="632" spans="9:11" x14ac:dyDescent="0.25">
      <c r="I632" t="str">
        <f t="shared" si="27"/>
        <v>Unknown</v>
      </c>
      <c r="J632" t="str">
        <f t="shared" si="28"/>
        <v>Other</v>
      </c>
      <c r="K632" s="3">
        <f t="shared" si="29"/>
        <v>0</v>
      </c>
    </row>
    <row r="633" spans="9:11" x14ac:dyDescent="0.25">
      <c r="I633" t="str">
        <f t="shared" si="27"/>
        <v>Unknown</v>
      </c>
      <c r="J633" t="str">
        <f t="shared" si="28"/>
        <v>Other</v>
      </c>
      <c r="K633" s="3">
        <f t="shared" si="29"/>
        <v>0</v>
      </c>
    </row>
    <row r="634" spans="9:11" x14ac:dyDescent="0.25">
      <c r="I634" t="str">
        <f t="shared" si="27"/>
        <v>Unknown</v>
      </c>
      <c r="J634" t="str">
        <f t="shared" si="28"/>
        <v>Other</v>
      </c>
      <c r="K634" s="3">
        <f t="shared" si="29"/>
        <v>0</v>
      </c>
    </row>
    <row r="635" spans="9:11" x14ac:dyDescent="0.25">
      <c r="I635" t="str">
        <f t="shared" si="27"/>
        <v>Unknown</v>
      </c>
      <c r="J635" t="str">
        <f t="shared" si="28"/>
        <v>Other</v>
      </c>
      <c r="K635" s="3">
        <f t="shared" si="29"/>
        <v>0</v>
      </c>
    </row>
    <row r="636" spans="9:11" x14ac:dyDescent="0.25">
      <c r="I636" t="str">
        <f t="shared" si="27"/>
        <v>Unknown</v>
      </c>
      <c r="J636" t="str">
        <f t="shared" si="28"/>
        <v>Other</v>
      </c>
      <c r="K636" s="3">
        <f t="shared" si="29"/>
        <v>0</v>
      </c>
    </row>
    <row r="637" spans="9:11" x14ac:dyDescent="0.25">
      <c r="I637" t="str">
        <f t="shared" si="27"/>
        <v>Unknown</v>
      </c>
      <c r="J637" t="str">
        <f t="shared" si="28"/>
        <v>Other</v>
      </c>
      <c r="K637" s="3">
        <f t="shared" si="29"/>
        <v>0</v>
      </c>
    </row>
    <row r="638" spans="9:11" x14ac:dyDescent="0.25">
      <c r="I638" t="str">
        <f t="shared" si="27"/>
        <v>Unknown</v>
      </c>
      <c r="J638" t="str">
        <f t="shared" si="28"/>
        <v>Other</v>
      </c>
      <c r="K638" s="3">
        <f t="shared" si="29"/>
        <v>0</v>
      </c>
    </row>
    <row r="639" spans="9:11" x14ac:dyDescent="0.25">
      <c r="I639" t="str">
        <f t="shared" si="27"/>
        <v>Unknown</v>
      </c>
      <c r="J639" t="str">
        <f t="shared" si="28"/>
        <v>Other</v>
      </c>
      <c r="K639" s="3">
        <f t="shared" si="29"/>
        <v>0</v>
      </c>
    </row>
    <row r="640" spans="9:11" x14ac:dyDescent="0.25">
      <c r="I640" t="str">
        <f t="shared" si="27"/>
        <v>Unknown</v>
      </c>
      <c r="J640" t="str">
        <f t="shared" si="28"/>
        <v>Other</v>
      </c>
      <c r="K640" s="3">
        <f t="shared" si="29"/>
        <v>0</v>
      </c>
    </row>
    <row r="641" spans="9:11" x14ac:dyDescent="0.25">
      <c r="I641" t="str">
        <f t="shared" si="27"/>
        <v>Unknown</v>
      </c>
      <c r="J641" t="str">
        <f t="shared" si="28"/>
        <v>Other</v>
      </c>
      <c r="K641" s="3">
        <f t="shared" si="29"/>
        <v>0</v>
      </c>
    </row>
    <row r="642" spans="9:11" x14ac:dyDescent="0.25">
      <c r="I642" t="str">
        <f t="shared" ref="I642:I705" si="30">IF(ISNUMBER(SEARCH("kirk",F642)),"Kirk",IF(ISNUMBER(SEARCH("justin",F642)),"Justin",IF(ISNUMBER(SEARCH("reyna",F642)),"Reyna","Unknown")))</f>
        <v>Unknown</v>
      </c>
      <c r="J642" t="str">
        <f t="shared" ref="J642:J705" si="31">IF(ISNUMBER(SEARCH("onboard",F642)),"Onboarded",IF(ISNUMBER(SEARCH("referr",F642)),"Referral",IF(ISNUMBER(SEARCH("transfer",F642)),"Transfer","Other")))</f>
        <v>Other</v>
      </c>
      <c r="K642" s="3">
        <f t="shared" ref="K642:K705" si="32">IF(AND(I642="Kirk",J642="Onboarded"),3,IF(AND(I642="Kirk",J642="Referral"),2,IF(AND(I642="Kirk",J642="Transfer"),2,IF(AND(I642="Justin",J642="Onboarded"),3,IF(AND(I642="Justin",J642="Referral"),2,IF(AND(I642="Justin",J642="Transfer"),2,IF(AND(I642="Reyna",J642="Onboarded"),3,IF(AND(I642="Reyna",J642="Referral"),2,IF(AND(I642="Reyna",J642="Transfer"),2,0)))))))))</f>
        <v>0</v>
      </c>
    </row>
    <row r="643" spans="9:11" x14ac:dyDescent="0.25">
      <c r="I643" t="str">
        <f t="shared" si="30"/>
        <v>Unknown</v>
      </c>
      <c r="J643" t="str">
        <f t="shared" si="31"/>
        <v>Other</v>
      </c>
      <c r="K643" s="3">
        <f t="shared" si="32"/>
        <v>0</v>
      </c>
    </row>
    <row r="644" spans="9:11" x14ac:dyDescent="0.25">
      <c r="I644" t="str">
        <f t="shared" si="30"/>
        <v>Unknown</v>
      </c>
      <c r="J644" t="str">
        <f t="shared" si="31"/>
        <v>Other</v>
      </c>
      <c r="K644" s="3">
        <f t="shared" si="32"/>
        <v>0</v>
      </c>
    </row>
    <row r="645" spans="9:11" x14ac:dyDescent="0.25">
      <c r="I645" t="str">
        <f t="shared" si="30"/>
        <v>Unknown</v>
      </c>
      <c r="J645" t="str">
        <f t="shared" si="31"/>
        <v>Other</v>
      </c>
      <c r="K645" s="3">
        <f t="shared" si="32"/>
        <v>0</v>
      </c>
    </row>
    <row r="646" spans="9:11" x14ac:dyDescent="0.25">
      <c r="I646" t="str">
        <f t="shared" si="30"/>
        <v>Unknown</v>
      </c>
      <c r="J646" t="str">
        <f t="shared" si="31"/>
        <v>Other</v>
      </c>
      <c r="K646" s="3">
        <f t="shared" si="32"/>
        <v>0</v>
      </c>
    </row>
    <row r="647" spans="9:11" x14ac:dyDescent="0.25">
      <c r="I647" t="str">
        <f t="shared" si="30"/>
        <v>Unknown</v>
      </c>
      <c r="J647" t="str">
        <f t="shared" si="31"/>
        <v>Other</v>
      </c>
      <c r="K647" s="3">
        <f t="shared" si="32"/>
        <v>0</v>
      </c>
    </row>
    <row r="648" spans="9:11" x14ac:dyDescent="0.25">
      <c r="I648" t="str">
        <f t="shared" si="30"/>
        <v>Unknown</v>
      </c>
      <c r="J648" t="str">
        <f t="shared" si="31"/>
        <v>Other</v>
      </c>
      <c r="K648" s="3">
        <f t="shared" si="32"/>
        <v>0</v>
      </c>
    </row>
    <row r="649" spans="9:11" x14ac:dyDescent="0.25">
      <c r="I649" t="str">
        <f t="shared" si="30"/>
        <v>Unknown</v>
      </c>
      <c r="J649" t="str">
        <f t="shared" si="31"/>
        <v>Other</v>
      </c>
      <c r="K649" s="3">
        <f t="shared" si="32"/>
        <v>0</v>
      </c>
    </row>
    <row r="650" spans="9:11" x14ac:dyDescent="0.25">
      <c r="I650" t="str">
        <f t="shared" si="30"/>
        <v>Unknown</v>
      </c>
      <c r="J650" t="str">
        <f t="shared" si="31"/>
        <v>Other</v>
      </c>
      <c r="K650" s="3">
        <f t="shared" si="32"/>
        <v>0</v>
      </c>
    </row>
    <row r="651" spans="9:11" x14ac:dyDescent="0.25">
      <c r="I651" t="str">
        <f t="shared" si="30"/>
        <v>Unknown</v>
      </c>
      <c r="J651" t="str">
        <f t="shared" si="31"/>
        <v>Other</v>
      </c>
      <c r="K651" s="3">
        <f t="shared" si="32"/>
        <v>0</v>
      </c>
    </row>
    <row r="652" spans="9:11" x14ac:dyDescent="0.25">
      <c r="I652" t="str">
        <f t="shared" si="30"/>
        <v>Unknown</v>
      </c>
      <c r="J652" t="str">
        <f t="shared" si="31"/>
        <v>Other</v>
      </c>
      <c r="K652" s="3">
        <f t="shared" si="32"/>
        <v>0</v>
      </c>
    </row>
    <row r="653" spans="9:11" x14ac:dyDescent="0.25">
      <c r="I653" t="str">
        <f t="shared" si="30"/>
        <v>Unknown</v>
      </c>
      <c r="J653" t="str">
        <f t="shared" si="31"/>
        <v>Other</v>
      </c>
      <c r="K653" s="3">
        <f t="shared" si="32"/>
        <v>0</v>
      </c>
    </row>
    <row r="654" spans="9:11" x14ac:dyDescent="0.25">
      <c r="I654" t="str">
        <f t="shared" si="30"/>
        <v>Unknown</v>
      </c>
      <c r="J654" t="str">
        <f t="shared" si="31"/>
        <v>Other</v>
      </c>
      <c r="K654" s="3">
        <f t="shared" si="32"/>
        <v>0</v>
      </c>
    </row>
    <row r="655" spans="9:11" x14ac:dyDescent="0.25">
      <c r="I655" t="str">
        <f t="shared" si="30"/>
        <v>Unknown</v>
      </c>
      <c r="J655" t="str">
        <f t="shared" si="31"/>
        <v>Other</v>
      </c>
      <c r="K655" s="3">
        <f t="shared" si="32"/>
        <v>0</v>
      </c>
    </row>
    <row r="656" spans="9:11" x14ac:dyDescent="0.25">
      <c r="I656" t="str">
        <f t="shared" si="30"/>
        <v>Unknown</v>
      </c>
      <c r="J656" t="str">
        <f t="shared" si="31"/>
        <v>Other</v>
      </c>
      <c r="K656" s="3">
        <f t="shared" si="32"/>
        <v>0</v>
      </c>
    </row>
    <row r="657" spans="9:11" x14ac:dyDescent="0.25">
      <c r="I657" t="str">
        <f t="shared" si="30"/>
        <v>Unknown</v>
      </c>
      <c r="J657" t="str">
        <f t="shared" si="31"/>
        <v>Other</v>
      </c>
      <c r="K657" s="3">
        <f t="shared" si="32"/>
        <v>0</v>
      </c>
    </row>
    <row r="658" spans="9:11" x14ac:dyDescent="0.25">
      <c r="I658" t="str">
        <f t="shared" si="30"/>
        <v>Unknown</v>
      </c>
      <c r="J658" t="str">
        <f t="shared" si="31"/>
        <v>Other</v>
      </c>
      <c r="K658" s="3">
        <f t="shared" si="32"/>
        <v>0</v>
      </c>
    </row>
    <row r="659" spans="9:11" x14ac:dyDescent="0.25">
      <c r="I659" t="str">
        <f t="shared" si="30"/>
        <v>Unknown</v>
      </c>
      <c r="J659" t="str">
        <f t="shared" si="31"/>
        <v>Other</v>
      </c>
      <c r="K659" s="3">
        <f t="shared" si="32"/>
        <v>0</v>
      </c>
    </row>
    <row r="660" spans="9:11" x14ac:dyDescent="0.25">
      <c r="I660" t="str">
        <f t="shared" si="30"/>
        <v>Unknown</v>
      </c>
      <c r="J660" t="str">
        <f t="shared" si="31"/>
        <v>Other</v>
      </c>
      <c r="K660" s="3">
        <f t="shared" si="32"/>
        <v>0</v>
      </c>
    </row>
    <row r="661" spans="9:11" x14ac:dyDescent="0.25">
      <c r="I661" t="str">
        <f t="shared" si="30"/>
        <v>Unknown</v>
      </c>
      <c r="J661" t="str">
        <f t="shared" si="31"/>
        <v>Other</v>
      </c>
      <c r="K661" s="3">
        <f t="shared" si="32"/>
        <v>0</v>
      </c>
    </row>
    <row r="662" spans="9:11" x14ac:dyDescent="0.25">
      <c r="I662" t="str">
        <f t="shared" si="30"/>
        <v>Unknown</v>
      </c>
      <c r="J662" t="str">
        <f t="shared" si="31"/>
        <v>Other</v>
      </c>
      <c r="K662" s="3">
        <f t="shared" si="32"/>
        <v>0</v>
      </c>
    </row>
    <row r="663" spans="9:11" x14ac:dyDescent="0.25">
      <c r="I663" t="str">
        <f t="shared" si="30"/>
        <v>Unknown</v>
      </c>
      <c r="J663" t="str">
        <f t="shared" si="31"/>
        <v>Other</v>
      </c>
      <c r="K663" s="3">
        <f t="shared" si="32"/>
        <v>0</v>
      </c>
    </row>
    <row r="664" spans="9:11" x14ac:dyDescent="0.25">
      <c r="I664" t="str">
        <f t="shared" si="30"/>
        <v>Unknown</v>
      </c>
      <c r="J664" t="str">
        <f t="shared" si="31"/>
        <v>Other</v>
      </c>
      <c r="K664" s="3">
        <f t="shared" si="32"/>
        <v>0</v>
      </c>
    </row>
    <row r="665" spans="9:11" x14ac:dyDescent="0.25">
      <c r="I665" t="str">
        <f t="shared" si="30"/>
        <v>Unknown</v>
      </c>
      <c r="J665" t="str">
        <f t="shared" si="31"/>
        <v>Other</v>
      </c>
      <c r="K665" s="3">
        <f t="shared" si="32"/>
        <v>0</v>
      </c>
    </row>
    <row r="666" spans="9:11" x14ac:dyDescent="0.25">
      <c r="I666" t="str">
        <f t="shared" si="30"/>
        <v>Unknown</v>
      </c>
      <c r="J666" t="str">
        <f t="shared" si="31"/>
        <v>Other</v>
      </c>
      <c r="K666" s="3">
        <f t="shared" si="32"/>
        <v>0</v>
      </c>
    </row>
    <row r="667" spans="9:11" x14ac:dyDescent="0.25">
      <c r="I667" t="str">
        <f t="shared" si="30"/>
        <v>Unknown</v>
      </c>
      <c r="J667" t="str">
        <f t="shared" si="31"/>
        <v>Other</v>
      </c>
      <c r="K667" s="3">
        <f t="shared" si="32"/>
        <v>0</v>
      </c>
    </row>
    <row r="668" spans="9:11" x14ac:dyDescent="0.25">
      <c r="I668" t="str">
        <f t="shared" si="30"/>
        <v>Unknown</v>
      </c>
      <c r="J668" t="str">
        <f t="shared" si="31"/>
        <v>Other</v>
      </c>
      <c r="K668" s="3">
        <f t="shared" si="32"/>
        <v>0</v>
      </c>
    </row>
    <row r="669" spans="9:11" x14ac:dyDescent="0.25">
      <c r="I669" t="str">
        <f t="shared" si="30"/>
        <v>Unknown</v>
      </c>
      <c r="J669" t="str">
        <f t="shared" si="31"/>
        <v>Other</v>
      </c>
      <c r="K669" s="3">
        <f t="shared" si="32"/>
        <v>0</v>
      </c>
    </row>
    <row r="670" spans="9:11" x14ac:dyDescent="0.25">
      <c r="I670" t="str">
        <f t="shared" si="30"/>
        <v>Unknown</v>
      </c>
      <c r="J670" t="str">
        <f t="shared" si="31"/>
        <v>Other</v>
      </c>
      <c r="K670" s="3">
        <f t="shared" si="32"/>
        <v>0</v>
      </c>
    </row>
    <row r="671" spans="9:11" x14ac:dyDescent="0.25">
      <c r="I671" t="str">
        <f t="shared" si="30"/>
        <v>Unknown</v>
      </c>
      <c r="J671" t="str">
        <f t="shared" si="31"/>
        <v>Other</v>
      </c>
      <c r="K671" s="3">
        <f t="shared" si="32"/>
        <v>0</v>
      </c>
    </row>
    <row r="672" spans="9:11" x14ac:dyDescent="0.25">
      <c r="I672" t="str">
        <f t="shared" si="30"/>
        <v>Unknown</v>
      </c>
      <c r="J672" t="str">
        <f t="shared" si="31"/>
        <v>Other</v>
      </c>
      <c r="K672" s="3">
        <f t="shared" si="32"/>
        <v>0</v>
      </c>
    </row>
    <row r="673" spans="9:11" x14ac:dyDescent="0.25">
      <c r="I673" t="str">
        <f t="shared" si="30"/>
        <v>Unknown</v>
      </c>
      <c r="J673" t="str">
        <f t="shared" si="31"/>
        <v>Other</v>
      </c>
      <c r="K673" s="3">
        <f t="shared" si="32"/>
        <v>0</v>
      </c>
    </row>
    <row r="674" spans="9:11" x14ac:dyDescent="0.25">
      <c r="I674" t="str">
        <f t="shared" si="30"/>
        <v>Unknown</v>
      </c>
      <c r="J674" t="str">
        <f t="shared" si="31"/>
        <v>Other</v>
      </c>
      <c r="K674" s="3">
        <f t="shared" si="32"/>
        <v>0</v>
      </c>
    </row>
    <row r="675" spans="9:11" x14ac:dyDescent="0.25">
      <c r="I675" t="str">
        <f t="shared" si="30"/>
        <v>Unknown</v>
      </c>
      <c r="J675" t="str">
        <f t="shared" si="31"/>
        <v>Other</v>
      </c>
      <c r="K675" s="3">
        <f t="shared" si="32"/>
        <v>0</v>
      </c>
    </row>
    <row r="676" spans="9:11" x14ac:dyDescent="0.25">
      <c r="I676" t="str">
        <f t="shared" si="30"/>
        <v>Unknown</v>
      </c>
      <c r="J676" t="str">
        <f t="shared" si="31"/>
        <v>Other</v>
      </c>
      <c r="K676" s="3">
        <f t="shared" si="32"/>
        <v>0</v>
      </c>
    </row>
    <row r="677" spans="9:11" x14ac:dyDescent="0.25">
      <c r="I677" t="str">
        <f t="shared" si="30"/>
        <v>Unknown</v>
      </c>
      <c r="J677" t="str">
        <f t="shared" si="31"/>
        <v>Other</v>
      </c>
      <c r="K677" s="3">
        <f t="shared" si="32"/>
        <v>0</v>
      </c>
    </row>
    <row r="678" spans="9:11" x14ac:dyDescent="0.25">
      <c r="I678" t="str">
        <f t="shared" si="30"/>
        <v>Unknown</v>
      </c>
      <c r="J678" t="str">
        <f t="shared" si="31"/>
        <v>Other</v>
      </c>
      <c r="K678" s="3">
        <f t="shared" si="32"/>
        <v>0</v>
      </c>
    </row>
    <row r="679" spans="9:11" x14ac:dyDescent="0.25">
      <c r="I679" t="str">
        <f t="shared" si="30"/>
        <v>Unknown</v>
      </c>
      <c r="J679" t="str">
        <f t="shared" si="31"/>
        <v>Other</v>
      </c>
      <c r="K679" s="3">
        <f t="shared" si="32"/>
        <v>0</v>
      </c>
    </row>
    <row r="680" spans="9:11" x14ac:dyDescent="0.25">
      <c r="I680" t="str">
        <f t="shared" si="30"/>
        <v>Unknown</v>
      </c>
      <c r="J680" t="str">
        <f t="shared" si="31"/>
        <v>Other</v>
      </c>
      <c r="K680" s="3">
        <f t="shared" si="32"/>
        <v>0</v>
      </c>
    </row>
    <row r="681" spans="9:11" x14ac:dyDescent="0.25">
      <c r="I681" t="str">
        <f t="shared" si="30"/>
        <v>Unknown</v>
      </c>
      <c r="J681" t="str">
        <f t="shared" si="31"/>
        <v>Other</v>
      </c>
      <c r="K681" s="3">
        <f t="shared" si="32"/>
        <v>0</v>
      </c>
    </row>
    <row r="682" spans="9:11" x14ac:dyDescent="0.25">
      <c r="I682" t="str">
        <f t="shared" si="30"/>
        <v>Unknown</v>
      </c>
      <c r="J682" t="str">
        <f t="shared" si="31"/>
        <v>Other</v>
      </c>
      <c r="K682" s="3">
        <f t="shared" si="32"/>
        <v>0</v>
      </c>
    </row>
    <row r="683" spans="9:11" x14ac:dyDescent="0.25">
      <c r="I683" t="str">
        <f t="shared" si="30"/>
        <v>Unknown</v>
      </c>
      <c r="J683" t="str">
        <f t="shared" si="31"/>
        <v>Other</v>
      </c>
      <c r="K683" s="3">
        <f t="shared" si="32"/>
        <v>0</v>
      </c>
    </row>
    <row r="684" spans="9:11" x14ac:dyDescent="0.25">
      <c r="I684" t="str">
        <f t="shared" si="30"/>
        <v>Unknown</v>
      </c>
      <c r="J684" t="str">
        <f t="shared" si="31"/>
        <v>Other</v>
      </c>
      <c r="K684" s="3">
        <f t="shared" si="32"/>
        <v>0</v>
      </c>
    </row>
    <row r="685" spans="9:11" x14ac:dyDescent="0.25">
      <c r="I685" t="str">
        <f t="shared" si="30"/>
        <v>Unknown</v>
      </c>
      <c r="J685" t="str">
        <f t="shared" si="31"/>
        <v>Other</v>
      </c>
      <c r="K685" s="3">
        <f t="shared" si="32"/>
        <v>0</v>
      </c>
    </row>
    <row r="686" spans="9:11" x14ac:dyDescent="0.25">
      <c r="I686" t="str">
        <f t="shared" si="30"/>
        <v>Unknown</v>
      </c>
      <c r="J686" t="str">
        <f t="shared" si="31"/>
        <v>Other</v>
      </c>
      <c r="K686" s="3">
        <f t="shared" si="32"/>
        <v>0</v>
      </c>
    </row>
    <row r="687" spans="9:11" x14ac:dyDescent="0.25">
      <c r="I687" t="str">
        <f t="shared" si="30"/>
        <v>Unknown</v>
      </c>
      <c r="J687" t="str">
        <f t="shared" si="31"/>
        <v>Other</v>
      </c>
      <c r="K687" s="3">
        <f t="shared" si="32"/>
        <v>0</v>
      </c>
    </row>
    <row r="688" spans="9:11" x14ac:dyDescent="0.25">
      <c r="I688" t="str">
        <f t="shared" si="30"/>
        <v>Unknown</v>
      </c>
      <c r="J688" t="str">
        <f t="shared" si="31"/>
        <v>Other</v>
      </c>
      <c r="K688" s="3">
        <f t="shared" si="32"/>
        <v>0</v>
      </c>
    </row>
    <row r="689" spans="9:11" x14ac:dyDescent="0.25">
      <c r="I689" t="str">
        <f t="shared" si="30"/>
        <v>Unknown</v>
      </c>
      <c r="J689" t="str">
        <f t="shared" si="31"/>
        <v>Other</v>
      </c>
      <c r="K689" s="3">
        <f t="shared" si="32"/>
        <v>0</v>
      </c>
    </row>
    <row r="690" spans="9:11" x14ac:dyDescent="0.25">
      <c r="I690" t="str">
        <f t="shared" si="30"/>
        <v>Unknown</v>
      </c>
      <c r="J690" t="str">
        <f t="shared" si="31"/>
        <v>Other</v>
      </c>
      <c r="K690" s="3">
        <f t="shared" si="32"/>
        <v>0</v>
      </c>
    </row>
    <row r="691" spans="9:11" x14ac:dyDescent="0.25">
      <c r="I691" t="str">
        <f t="shared" si="30"/>
        <v>Unknown</v>
      </c>
      <c r="J691" t="str">
        <f t="shared" si="31"/>
        <v>Other</v>
      </c>
      <c r="K691" s="3">
        <f t="shared" si="32"/>
        <v>0</v>
      </c>
    </row>
    <row r="692" spans="9:11" x14ac:dyDescent="0.25">
      <c r="I692" t="str">
        <f t="shared" si="30"/>
        <v>Unknown</v>
      </c>
      <c r="J692" t="str">
        <f t="shared" si="31"/>
        <v>Other</v>
      </c>
      <c r="K692" s="3">
        <f t="shared" si="32"/>
        <v>0</v>
      </c>
    </row>
    <row r="693" spans="9:11" x14ac:dyDescent="0.25">
      <c r="I693" t="str">
        <f t="shared" si="30"/>
        <v>Unknown</v>
      </c>
      <c r="J693" t="str">
        <f t="shared" si="31"/>
        <v>Other</v>
      </c>
      <c r="K693" s="3">
        <f t="shared" si="32"/>
        <v>0</v>
      </c>
    </row>
    <row r="694" spans="9:11" x14ac:dyDescent="0.25">
      <c r="I694" t="str">
        <f t="shared" si="30"/>
        <v>Unknown</v>
      </c>
      <c r="J694" t="str">
        <f t="shared" si="31"/>
        <v>Other</v>
      </c>
      <c r="K694" s="3">
        <f t="shared" si="32"/>
        <v>0</v>
      </c>
    </row>
    <row r="695" spans="9:11" x14ac:dyDescent="0.25">
      <c r="I695" t="str">
        <f t="shared" si="30"/>
        <v>Unknown</v>
      </c>
      <c r="J695" t="str">
        <f t="shared" si="31"/>
        <v>Other</v>
      </c>
      <c r="K695" s="3">
        <f t="shared" si="32"/>
        <v>0</v>
      </c>
    </row>
    <row r="696" spans="9:11" x14ac:dyDescent="0.25">
      <c r="I696" t="str">
        <f t="shared" si="30"/>
        <v>Unknown</v>
      </c>
      <c r="J696" t="str">
        <f t="shared" si="31"/>
        <v>Other</v>
      </c>
      <c r="K696" s="3">
        <f t="shared" si="32"/>
        <v>0</v>
      </c>
    </row>
    <row r="697" spans="9:11" x14ac:dyDescent="0.25">
      <c r="I697" t="str">
        <f t="shared" si="30"/>
        <v>Unknown</v>
      </c>
      <c r="J697" t="str">
        <f t="shared" si="31"/>
        <v>Other</v>
      </c>
      <c r="K697" s="3">
        <f t="shared" si="32"/>
        <v>0</v>
      </c>
    </row>
    <row r="698" spans="9:11" x14ac:dyDescent="0.25">
      <c r="I698" t="str">
        <f t="shared" si="30"/>
        <v>Unknown</v>
      </c>
      <c r="J698" t="str">
        <f t="shared" si="31"/>
        <v>Other</v>
      </c>
      <c r="K698" s="3">
        <f t="shared" si="32"/>
        <v>0</v>
      </c>
    </row>
    <row r="699" spans="9:11" x14ac:dyDescent="0.25">
      <c r="I699" t="str">
        <f t="shared" si="30"/>
        <v>Unknown</v>
      </c>
      <c r="J699" t="str">
        <f t="shared" si="31"/>
        <v>Other</v>
      </c>
      <c r="K699" s="3">
        <f t="shared" si="32"/>
        <v>0</v>
      </c>
    </row>
    <row r="700" spans="9:11" x14ac:dyDescent="0.25">
      <c r="I700" t="str">
        <f t="shared" si="30"/>
        <v>Unknown</v>
      </c>
      <c r="J700" t="str">
        <f t="shared" si="31"/>
        <v>Other</v>
      </c>
      <c r="K700" s="3">
        <f t="shared" si="32"/>
        <v>0</v>
      </c>
    </row>
    <row r="701" spans="9:11" x14ac:dyDescent="0.25">
      <c r="I701" t="str">
        <f t="shared" si="30"/>
        <v>Unknown</v>
      </c>
      <c r="J701" t="str">
        <f t="shared" si="31"/>
        <v>Other</v>
      </c>
      <c r="K701" s="3">
        <f t="shared" si="32"/>
        <v>0</v>
      </c>
    </row>
    <row r="702" spans="9:11" x14ac:dyDescent="0.25">
      <c r="I702" t="str">
        <f t="shared" si="30"/>
        <v>Unknown</v>
      </c>
      <c r="J702" t="str">
        <f t="shared" si="31"/>
        <v>Other</v>
      </c>
      <c r="K702" s="3">
        <f t="shared" si="32"/>
        <v>0</v>
      </c>
    </row>
    <row r="703" spans="9:11" x14ac:dyDescent="0.25">
      <c r="I703" t="str">
        <f t="shared" si="30"/>
        <v>Unknown</v>
      </c>
      <c r="J703" t="str">
        <f t="shared" si="31"/>
        <v>Other</v>
      </c>
      <c r="K703" s="3">
        <f t="shared" si="32"/>
        <v>0</v>
      </c>
    </row>
    <row r="704" spans="9:11" x14ac:dyDescent="0.25">
      <c r="I704" t="str">
        <f t="shared" si="30"/>
        <v>Unknown</v>
      </c>
      <c r="J704" t="str">
        <f t="shared" si="31"/>
        <v>Other</v>
      </c>
      <c r="K704" s="3">
        <f t="shared" si="32"/>
        <v>0</v>
      </c>
    </row>
    <row r="705" spans="9:11" x14ac:dyDescent="0.25">
      <c r="I705" t="str">
        <f t="shared" si="30"/>
        <v>Unknown</v>
      </c>
      <c r="J705" t="str">
        <f t="shared" si="31"/>
        <v>Other</v>
      </c>
      <c r="K705" s="3">
        <f t="shared" si="32"/>
        <v>0</v>
      </c>
    </row>
    <row r="706" spans="9:11" x14ac:dyDescent="0.25">
      <c r="I706" t="str">
        <f t="shared" ref="I706:I769" si="33">IF(ISNUMBER(SEARCH("kirk",F706)),"Kirk",IF(ISNUMBER(SEARCH("justin",F706)),"Justin",IF(ISNUMBER(SEARCH("reyna",F706)),"Reyna","Unknown")))</f>
        <v>Unknown</v>
      </c>
      <c r="J706" t="str">
        <f t="shared" ref="J706:J769" si="34">IF(ISNUMBER(SEARCH("onboard",F706)),"Onboarded",IF(ISNUMBER(SEARCH("referr",F706)),"Referral",IF(ISNUMBER(SEARCH("transfer",F706)),"Transfer","Other")))</f>
        <v>Other</v>
      </c>
      <c r="K706" s="3">
        <f t="shared" ref="K706:K769" si="35">IF(AND(I706="Kirk",J706="Onboarded"),3,IF(AND(I706="Kirk",J706="Referral"),2,IF(AND(I706="Kirk",J706="Transfer"),2,IF(AND(I706="Justin",J706="Onboarded"),3,IF(AND(I706="Justin",J706="Referral"),2,IF(AND(I706="Justin",J706="Transfer"),2,IF(AND(I706="Reyna",J706="Onboarded"),3,IF(AND(I706="Reyna",J706="Referral"),2,IF(AND(I706="Reyna",J706="Transfer"),2,0)))))))))</f>
        <v>0</v>
      </c>
    </row>
    <row r="707" spans="9:11" x14ac:dyDescent="0.25">
      <c r="I707" t="str">
        <f t="shared" si="33"/>
        <v>Unknown</v>
      </c>
      <c r="J707" t="str">
        <f t="shared" si="34"/>
        <v>Other</v>
      </c>
      <c r="K707" s="3">
        <f t="shared" si="35"/>
        <v>0</v>
      </c>
    </row>
    <row r="708" spans="9:11" x14ac:dyDescent="0.25">
      <c r="I708" t="str">
        <f t="shared" si="33"/>
        <v>Unknown</v>
      </c>
      <c r="J708" t="str">
        <f t="shared" si="34"/>
        <v>Other</v>
      </c>
      <c r="K708" s="3">
        <f t="shared" si="35"/>
        <v>0</v>
      </c>
    </row>
    <row r="709" spans="9:11" x14ac:dyDescent="0.25">
      <c r="I709" t="str">
        <f t="shared" si="33"/>
        <v>Unknown</v>
      </c>
      <c r="J709" t="str">
        <f t="shared" si="34"/>
        <v>Other</v>
      </c>
      <c r="K709" s="3">
        <f t="shared" si="35"/>
        <v>0</v>
      </c>
    </row>
    <row r="710" spans="9:11" x14ac:dyDescent="0.25">
      <c r="I710" t="str">
        <f t="shared" si="33"/>
        <v>Unknown</v>
      </c>
      <c r="J710" t="str">
        <f t="shared" si="34"/>
        <v>Other</v>
      </c>
      <c r="K710" s="3">
        <f t="shared" si="35"/>
        <v>0</v>
      </c>
    </row>
    <row r="711" spans="9:11" x14ac:dyDescent="0.25">
      <c r="I711" t="str">
        <f t="shared" si="33"/>
        <v>Unknown</v>
      </c>
      <c r="J711" t="str">
        <f t="shared" si="34"/>
        <v>Other</v>
      </c>
      <c r="K711" s="3">
        <f t="shared" si="35"/>
        <v>0</v>
      </c>
    </row>
    <row r="712" spans="9:11" x14ac:dyDescent="0.25">
      <c r="I712" t="str">
        <f t="shared" si="33"/>
        <v>Unknown</v>
      </c>
      <c r="J712" t="str">
        <f t="shared" si="34"/>
        <v>Other</v>
      </c>
      <c r="K712" s="3">
        <f t="shared" si="35"/>
        <v>0</v>
      </c>
    </row>
    <row r="713" spans="9:11" x14ac:dyDescent="0.25">
      <c r="I713" t="str">
        <f t="shared" si="33"/>
        <v>Unknown</v>
      </c>
      <c r="J713" t="str">
        <f t="shared" si="34"/>
        <v>Other</v>
      </c>
      <c r="K713" s="3">
        <f t="shared" si="35"/>
        <v>0</v>
      </c>
    </row>
    <row r="714" spans="9:11" x14ac:dyDescent="0.25">
      <c r="I714" t="str">
        <f t="shared" si="33"/>
        <v>Unknown</v>
      </c>
      <c r="J714" t="str">
        <f t="shared" si="34"/>
        <v>Other</v>
      </c>
      <c r="K714" s="3">
        <f t="shared" si="35"/>
        <v>0</v>
      </c>
    </row>
    <row r="715" spans="9:11" x14ac:dyDescent="0.25">
      <c r="I715" t="str">
        <f t="shared" si="33"/>
        <v>Unknown</v>
      </c>
      <c r="J715" t="str">
        <f t="shared" si="34"/>
        <v>Other</v>
      </c>
      <c r="K715" s="3">
        <f t="shared" si="35"/>
        <v>0</v>
      </c>
    </row>
    <row r="716" spans="9:11" x14ac:dyDescent="0.25">
      <c r="I716" t="str">
        <f t="shared" si="33"/>
        <v>Unknown</v>
      </c>
      <c r="J716" t="str">
        <f t="shared" si="34"/>
        <v>Other</v>
      </c>
      <c r="K716" s="3">
        <f t="shared" si="35"/>
        <v>0</v>
      </c>
    </row>
    <row r="717" spans="9:11" x14ac:dyDescent="0.25">
      <c r="I717" t="str">
        <f t="shared" si="33"/>
        <v>Unknown</v>
      </c>
      <c r="J717" t="str">
        <f t="shared" si="34"/>
        <v>Other</v>
      </c>
      <c r="K717" s="3">
        <f t="shared" si="35"/>
        <v>0</v>
      </c>
    </row>
    <row r="718" spans="9:11" x14ac:dyDescent="0.25">
      <c r="I718" t="str">
        <f t="shared" si="33"/>
        <v>Unknown</v>
      </c>
      <c r="J718" t="str">
        <f t="shared" si="34"/>
        <v>Other</v>
      </c>
      <c r="K718" s="3">
        <f t="shared" si="35"/>
        <v>0</v>
      </c>
    </row>
    <row r="719" spans="9:11" x14ac:dyDescent="0.25">
      <c r="I719" t="str">
        <f t="shared" si="33"/>
        <v>Unknown</v>
      </c>
      <c r="J719" t="str">
        <f t="shared" si="34"/>
        <v>Other</v>
      </c>
      <c r="K719" s="3">
        <f t="shared" si="35"/>
        <v>0</v>
      </c>
    </row>
    <row r="720" spans="9:11" x14ac:dyDescent="0.25">
      <c r="I720" t="str">
        <f t="shared" si="33"/>
        <v>Unknown</v>
      </c>
      <c r="J720" t="str">
        <f t="shared" si="34"/>
        <v>Other</v>
      </c>
      <c r="K720" s="3">
        <f t="shared" si="35"/>
        <v>0</v>
      </c>
    </row>
    <row r="721" spans="9:11" x14ac:dyDescent="0.25">
      <c r="I721" t="str">
        <f t="shared" si="33"/>
        <v>Unknown</v>
      </c>
      <c r="J721" t="str">
        <f t="shared" si="34"/>
        <v>Other</v>
      </c>
      <c r="K721" s="3">
        <f t="shared" si="35"/>
        <v>0</v>
      </c>
    </row>
    <row r="722" spans="9:11" x14ac:dyDescent="0.25">
      <c r="I722" t="str">
        <f t="shared" si="33"/>
        <v>Unknown</v>
      </c>
      <c r="J722" t="str">
        <f t="shared" si="34"/>
        <v>Other</v>
      </c>
      <c r="K722" s="3">
        <f t="shared" si="35"/>
        <v>0</v>
      </c>
    </row>
    <row r="723" spans="9:11" x14ac:dyDescent="0.25">
      <c r="I723" t="str">
        <f t="shared" si="33"/>
        <v>Unknown</v>
      </c>
      <c r="J723" t="str">
        <f t="shared" si="34"/>
        <v>Other</v>
      </c>
      <c r="K723" s="3">
        <f t="shared" si="35"/>
        <v>0</v>
      </c>
    </row>
    <row r="724" spans="9:11" x14ac:dyDescent="0.25">
      <c r="I724" t="str">
        <f t="shared" si="33"/>
        <v>Unknown</v>
      </c>
      <c r="J724" t="str">
        <f t="shared" si="34"/>
        <v>Other</v>
      </c>
      <c r="K724" s="3">
        <f t="shared" si="35"/>
        <v>0</v>
      </c>
    </row>
    <row r="725" spans="9:11" x14ac:dyDescent="0.25">
      <c r="I725" t="str">
        <f t="shared" si="33"/>
        <v>Unknown</v>
      </c>
      <c r="J725" t="str">
        <f t="shared" si="34"/>
        <v>Other</v>
      </c>
      <c r="K725" s="3">
        <f t="shared" si="35"/>
        <v>0</v>
      </c>
    </row>
    <row r="726" spans="9:11" x14ac:dyDescent="0.25">
      <c r="I726" t="str">
        <f t="shared" si="33"/>
        <v>Unknown</v>
      </c>
      <c r="J726" t="str">
        <f t="shared" si="34"/>
        <v>Other</v>
      </c>
      <c r="K726" s="3">
        <f t="shared" si="35"/>
        <v>0</v>
      </c>
    </row>
    <row r="727" spans="9:11" x14ac:dyDescent="0.25">
      <c r="I727" t="str">
        <f t="shared" si="33"/>
        <v>Unknown</v>
      </c>
      <c r="J727" t="str">
        <f t="shared" si="34"/>
        <v>Other</v>
      </c>
      <c r="K727" s="3">
        <f t="shared" si="35"/>
        <v>0</v>
      </c>
    </row>
    <row r="728" spans="9:11" x14ac:dyDescent="0.25">
      <c r="I728" t="str">
        <f t="shared" si="33"/>
        <v>Unknown</v>
      </c>
      <c r="J728" t="str">
        <f t="shared" si="34"/>
        <v>Other</v>
      </c>
      <c r="K728" s="3">
        <f t="shared" si="35"/>
        <v>0</v>
      </c>
    </row>
    <row r="729" spans="9:11" x14ac:dyDescent="0.25">
      <c r="I729" t="str">
        <f t="shared" si="33"/>
        <v>Unknown</v>
      </c>
      <c r="J729" t="str">
        <f t="shared" si="34"/>
        <v>Other</v>
      </c>
      <c r="K729" s="3">
        <f t="shared" si="35"/>
        <v>0</v>
      </c>
    </row>
    <row r="730" spans="9:11" x14ac:dyDescent="0.25">
      <c r="I730" t="str">
        <f t="shared" si="33"/>
        <v>Unknown</v>
      </c>
      <c r="J730" t="str">
        <f t="shared" si="34"/>
        <v>Other</v>
      </c>
      <c r="K730" s="3">
        <f t="shared" si="35"/>
        <v>0</v>
      </c>
    </row>
    <row r="731" spans="9:11" x14ac:dyDescent="0.25">
      <c r="I731" t="str">
        <f t="shared" si="33"/>
        <v>Unknown</v>
      </c>
      <c r="J731" t="str">
        <f t="shared" si="34"/>
        <v>Other</v>
      </c>
      <c r="K731" s="3">
        <f t="shared" si="35"/>
        <v>0</v>
      </c>
    </row>
    <row r="732" spans="9:11" x14ac:dyDescent="0.25">
      <c r="I732" t="str">
        <f t="shared" si="33"/>
        <v>Unknown</v>
      </c>
      <c r="J732" t="str">
        <f t="shared" si="34"/>
        <v>Other</v>
      </c>
      <c r="K732" s="3">
        <f t="shared" si="35"/>
        <v>0</v>
      </c>
    </row>
    <row r="733" spans="9:11" x14ac:dyDescent="0.25">
      <c r="I733" t="str">
        <f t="shared" si="33"/>
        <v>Unknown</v>
      </c>
      <c r="J733" t="str">
        <f t="shared" si="34"/>
        <v>Other</v>
      </c>
      <c r="K733" s="3">
        <f t="shared" si="35"/>
        <v>0</v>
      </c>
    </row>
    <row r="734" spans="9:11" x14ac:dyDescent="0.25">
      <c r="I734" t="str">
        <f t="shared" si="33"/>
        <v>Unknown</v>
      </c>
      <c r="J734" t="str">
        <f t="shared" si="34"/>
        <v>Other</v>
      </c>
      <c r="K734" s="3">
        <f t="shared" si="35"/>
        <v>0</v>
      </c>
    </row>
    <row r="735" spans="9:11" x14ac:dyDescent="0.25">
      <c r="I735" t="str">
        <f t="shared" si="33"/>
        <v>Unknown</v>
      </c>
      <c r="J735" t="str">
        <f t="shared" si="34"/>
        <v>Other</v>
      </c>
      <c r="K735" s="3">
        <f t="shared" si="35"/>
        <v>0</v>
      </c>
    </row>
    <row r="736" spans="9:11" x14ac:dyDescent="0.25">
      <c r="I736" t="str">
        <f t="shared" si="33"/>
        <v>Unknown</v>
      </c>
      <c r="J736" t="str">
        <f t="shared" si="34"/>
        <v>Other</v>
      </c>
      <c r="K736" s="3">
        <f t="shared" si="35"/>
        <v>0</v>
      </c>
    </row>
    <row r="737" spans="9:11" x14ac:dyDescent="0.25">
      <c r="I737" t="str">
        <f t="shared" si="33"/>
        <v>Unknown</v>
      </c>
      <c r="J737" t="str">
        <f t="shared" si="34"/>
        <v>Other</v>
      </c>
      <c r="K737" s="3">
        <f t="shared" si="35"/>
        <v>0</v>
      </c>
    </row>
    <row r="738" spans="9:11" x14ac:dyDescent="0.25">
      <c r="I738" t="str">
        <f t="shared" si="33"/>
        <v>Unknown</v>
      </c>
      <c r="J738" t="str">
        <f t="shared" si="34"/>
        <v>Other</v>
      </c>
      <c r="K738" s="3">
        <f t="shared" si="35"/>
        <v>0</v>
      </c>
    </row>
    <row r="739" spans="9:11" x14ac:dyDescent="0.25">
      <c r="I739" t="str">
        <f t="shared" si="33"/>
        <v>Unknown</v>
      </c>
      <c r="J739" t="str">
        <f t="shared" si="34"/>
        <v>Other</v>
      </c>
      <c r="K739" s="3">
        <f t="shared" si="35"/>
        <v>0</v>
      </c>
    </row>
    <row r="740" spans="9:11" x14ac:dyDescent="0.25">
      <c r="I740" t="str">
        <f t="shared" si="33"/>
        <v>Unknown</v>
      </c>
      <c r="J740" t="str">
        <f t="shared" si="34"/>
        <v>Other</v>
      </c>
      <c r="K740" s="3">
        <f t="shared" si="35"/>
        <v>0</v>
      </c>
    </row>
    <row r="741" spans="9:11" x14ac:dyDescent="0.25">
      <c r="I741" t="str">
        <f t="shared" si="33"/>
        <v>Unknown</v>
      </c>
      <c r="J741" t="str">
        <f t="shared" si="34"/>
        <v>Other</v>
      </c>
      <c r="K741" s="3">
        <f t="shared" si="35"/>
        <v>0</v>
      </c>
    </row>
    <row r="742" spans="9:11" x14ac:dyDescent="0.25">
      <c r="I742" t="str">
        <f t="shared" si="33"/>
        <v>Unknown</v>
      </c>
      <c r="J742" t="str">
        <f t="shared" si="34"/>
        <v>Other</v>
      </c>
      <c r="K742" s="3">
        <f t="shared" si="35"/>
        <v>0</v>
      </c>
    </row>
    <row r="743" spans="9:11" x14ac:dyDescent="0.25">
      <c r="I743" t="str">
        <f t="shared" si="33"/>
        <v>Unknown</v>
      </c>
      <c r="J743" t="str">
        <f t="shared" si="34"/>
        <v>Other</v>
      </c>
      <c r="K743" s="3">
        <f t="shared" si="35"/>
        <v>0</v>
      </c>
    </row>
    <row r="744" spans="9:11" x14ac:dyDescent="0.25">
      <c r="I744" t="str">
        <f t="shared" si="33"/>
        <v>Unknown</v>
      </c>
      <c r="J744" t="str">
        <f t="shared" si="34"/>
        <v>Other</v>
      </c>
      <c r="K744" s="3">
        <f t="shared" si="35"/>
        <v>0</v>
      </c>
    </row>
    <row r="745" spans="9:11" x14ac:dyDescent="0.25">
      <c r="I745" t="str">
        <f t="shared" si="33"/>
        <v>Unknown</v>
      </c>
      <c r="J745" t="str">
        <f t="shared" si="34"/>
        <v>Other</v>
      </c>
      <c r="K745" s="3">
        <f t="shared" si="35"/>
        <v>0</v>
      </c>
    </row>
    <row r="746" spans="9:11" x14ac:dyDescent="0.25">
      <c r="I746" t="str">
        <f t="shared" si="33"/>
        <v>Unknown</v>
      </c>
      <c r="J746" t="str">
        <f t="shared" si="34"/>
        <v>Other</v>
      </c>
      <c r="K746" s="3">
        <f t="shared" si="35"/>
        <v>0</v>
      </c>
    </row>
    <row r="747" spans="9:11" x14ac:dyDescent="0.25">
      <c r="I747" t="str">
        <f t="shared" si="33"/>
        <v>Unknown</v>
      </c>
      <c r="J747" t="str">
        <f t="shared" si="34"/>
        <v>Other</v>
      </c>
      <c r="K747" s="3">
        <f t="shared" si="35"/>
        <v>0</v>
      </c>
    </row>
    <row r="748" spans="9:11" x14ac:dyDescent="0.25">
      <c r="I748" t="str">
        <f t="shared" si="33"/>
        <v>Unknown</v>
      </c>
      <c r="J748" t="str">
        <f t="shared" si="34"/>
        <v>Other</v>
      </c>
      <c r="K748" s="3">
        <f t="shared" si="35"/>
        <v>0</v>
      </c>
    </row>
    <row r="749" spans="9:11" x14ac:dyDescent="0.25">
      <c r="I749" t="str">
        <f t="shared" si="33"/>
        <v>Unknown</v>
      </c>
      <c r="J749" t="str">
        <f t="shared" si="34"/>
        <v>Other</v>
      </c>
      <c r="K749" s="3">
        <f t="shared" si="35"/>
        <v>0</v>
      </c>
    </row>
    <row r="750" spans="9:11" x14ac:dyDescent="0.25">
      <c r="I750" t="str">
        <f t="shared" si="33"/>
        <v>Unknown</v>
      </c>
      <c r="J750" t="str">
        <f t="shared" si="34"/>
        <v>Other</v>
      </c>
      <c r="K750" s="3">
        <f t="shared" si="35"/>
        <v>0</v>
      </c>
    </row>
    <row r="751" spans="9:11" x14ac:dyDescent="0.25">
      <c r="I751" t="str">
        <f t="shared" si="33"/>
        <v>Unknown</v>
      </c>
      <c r="J751" t="str">
        <f t="shared" si="34"/>
        <v>Other</v>
      </c>
      <c r="K751" s="3">
        <f t="shared" si="35"/>
        <v>0</v>
      </c>
    </row>
    <row r="752" spans="9:11" x14ac:dyDescent="0.25">
      <c r="I752" t="str">
        <f t="shared" si="33"/>
        <v>Unknown</v>
      </c>
      <c r="J752" t="str">
        <f t="shared" si="34"/>
        <v>Other</v>
      </c>
      <c r="K752" s="3">
        <f t="shared" si="35"/>
        <v>0</v>
      </c>
    </row>
    <row r="753" spans="9:11" x14ac:dyDescent="0.25">
      <c r="I753" t="str">
        <f t="shared" si="33"/>
        <v>Unknown</v>
      </c>
      <c r="J753" t="str">
        <f t="shared" si="34"/>
        <v>Other</v>
      </c>
      <c r="K753" s="3">
        <f t="shared" si="35"/>
        <v>0</v>
      </c>
    </row>
    <row r="754" spans="9:11" x14ac:dyDescent="0.25">
      <c r="I754" t="str">
        <f t="shared" si="33"/>
        <v>Unknown</v>
      </c>
      <c r="J754" t="str">
        <f t="shared" si="34"/>
        <v>Other</v>
      </c>
      <c r="K754" s="3">
        <f t="shared" si="35"/>
        <v>0</v>
      </c>
    </row>
    <row r="755" spans="9:11" x14ac:dyDescent="0.25">
      <c r="I755" t="str">
        <f t="shared" si="33"/>
        <v>Unknown</v>
      </c>
      <c r="J755" t="str">
        <f t="shared" si="34"/>
        <v>Other</v>
      </c>
      <c r="K755" s="3">
        <f t="shared" si="35"/>
        <v>0</v>
      </c>
    </row>
    <row r="756" spans="9:11" x14ac:dyDescent="0.25">
      <c r="I756" t="str">
        <f t="shared" si="33"/>
        <v>Unknown</v>
      </c>
      <c r="J756" t="str">
        <f t="shared" si="34"/>
        <v>Other</v>
      </c>
      <c r="K756" s="3">
        <f t="shared" si="35"/>
        <v>0</v>
      </c>
    </row>
    <row r="757" spans="9:11" x14ac:dyDescent="0.25">
      <c r="I757" t="str">
        <f t="shared" si="33"/>
        <v>Unknown</v>
      </c>
      <c r="J757" t="str">
        <f t="shared" si="34"/>
        <v>Other</v>
      </c>
      <c r="K757" s="3">
        <f t="shared" si="35"/>
        <v>0</v>
      </c>
    </row>
    <row r="758" spans="9:11" x14ac:dyDescent="0.25">
      <c r="I758" t="str">
        <f t="shared" si="33"/>
        <v>Unknown</v>
      </c>
      <c r="J758" t="str">
        <f t="shared" si="34"/>
        <v>Other</v>
      </c>
      <c r="K758" s="3">
        <f t="shared" si="35"/>
        <v>0</v>
      </c>
    </row>
    <row r="759" spans="9:11" x14ac:dyDescent="0.25">
      <c r="I759" t="str">
        <f t="shared" si="33"/>
        <v>Unknown</v>
      </c>
      <c r="J759" t="str">
        <f t="shared" si="34"/>
        <v>Other</v>
      </c>
      <c r="K759" s="3">
        <f t="shared" si="35"/>
        <v>0</v>
      </c>
    </row>
    <row r="760" spans="9:11" x14ac:dyDescent="0.25">
      <c r="I760" t="str">
        <f t="shared" si="33"/>
        <v>Unknown</v>
      </c>
      <c r="J760" t="str">
        <f t="shared" si="34"/>
        <v>Other</v>
      </c>
      <c r="K760" s="3">
        <f t="shared" si="35"/>
        <v>0</v>
      </c>
    </row>
    <row r="761" spans="9:11" x14ac:dyDescent="0.25">
      <c r="I761" t="str">
        <f t="shared" si="33"/>
        <v>Unknown</v>
      </c>
      <c r="J761" t="str">
        <f t="shared" si="34"/>
        <v>Other</v>
      </c>
      <c r="K761" s="3">
        <f t="shared" si="35"/>
        <v>0</v>
      </c>
    </row>
    <row r="762" spans="9:11" x14ac:dyDescent="0.25">
      <c r="I762" t="str">
        <f t="shared" si="33"/>
        <v>Unknown</v>
      </c>
      <c r="J762" t="str">
        <f t="shared" si="34"/>
        <v>Other</v>
      </c>
      <c r="K762" s="3">
        <f t="shared" si="35"/>
        <v>0</v>
      </c>
    </row>
    <row r="763" spans="9:11" x14ac:dyDescent="0.25">
      <c r="I763" t="str">
        <f t="shared" si="33"/>
        <v>Unknown</v>
      </c>
      <c r="J763" t="str">
        <f t="shared" si="34"/>
        <v>Other</v>
      </c>
      <c r="K763" s="3">
        <f t="shared" si="35"/>
        <v>0</v>
      </c>
    </row>
    <row r="764" spans="9:11" x14ac:dyDescent="0.25">
      <c r="I764" t="str">
        <f t="shared" si="33"/>
        <v>Unknown</v>
      </c>
      <c r="J764" t="str">
        <f t="shared" si="34"/>
        <v>Other</v>
      </c>
      <c r="K764" s="3">
        <f t="shared" si="35"/>
        <v>0</v>
      </c>
    </row>
    <row r="765" spans="9:11" x14ac:dyDescent="0.25">
      <c r="I765" t="str">
        <f t="shared" si="33"/>
        <v>Unknown</v>
      </c>
      <c r="J765" t="str">
        <f t="shared" si="34"/>
        <v>Other</v>
      </c>
      <c r="K765" s="3">
        <f t="shared" si="35"/>
        <v>0</v>
      </c>
    </row>
    <row r="766" spans="9:11" x14ac:dyDescent="0.25">
      <c r="I766" t="str">
        <f t="shared" si="33"/>
        <v>Unknown</v>
      </c>
      <c r="J766" t="str">
        <f t="shared" si="34"/>
        <v>Other</v>
      </c>
      <c r="K766" s="3">
        <f t="shared" si="35"/>
        <v>0</v>
      </c>
    </row>
    <row r="767" spans="9:11" x14ac:dyDescent="0.25">
      <c r="I767" t="str">
        <f t="shared" si="33"/>
        <v>Unknown</v>
      </c>
      <c r="J767" t="str">
        <f t="shared" si="34"/>
        <v>Other</v>
      </c>
      <c r="K767" s="3">
        <f t="shared" si="35"/>
        <v>0</v>
      </c>
    </row>
    <row r="768" spans="9:11" x14ac:dyDescent="0.25">
      <c r="I768" t="str">
        <f t="shared" si="33"/>
        <v>Unknown</v>
      </c>
      <c r="J768" t="str">
        <f t="shared" si="34"/>
        <v>Other</v>
      </c>
      <c r="K768" s="3">
        <f t="shared" si="35"/>
        <v>0</v>
      </c>
    </row>
    <row r="769" spans="9:11" x14ac:dyDescent="0.25">
      <c r="I769" t="str">
        <f t="shared" si="33"/>
        <v>Unknown</v>
      </c>
      <c r="J769" t="str">
        <f t="shared" si="34"/>
        <v>Other</v>
      </c>
      <c r="K769" s="3">
        <f t="shared" si="35"/>
        <v>0</v>
      </c>
    </row>
    <row r="770" spans="9:11" x14ac:dyDescent="0.25">
      <c r="I770" t="str">
        <f t="shared" ref="I770:I833" si="36">IF(ISNUMBER(SEARCH("kirk",F770)),"Kirk",IF(ISNUMBER(SEARCH("justin",F770)),"Justin",IF(ISNUMBER(SEARCH("reyna",F770)),"Reyna","Unknown")))</f>
        <v>Unknown</v>
      </c>
      <c r="J770" t="str">
        <f t="shared" ref="J770:J833" si="37">IF(ISNUMBER(SEARCH("onboard",F770)),"Onboarded",IF(ISNUMBER(SEARCH("referr",F770)),"Referral",IF(ISNUMBER(SEARCH("transfer",F770)),"Transfer","Other")))</f>
        <v>Other</v>
      </c>
      <c r="K770" s="3">
        <f t="shared" ref="K770:K833" si="38">IF(AND(I770="Kirk",J770="Onboarded"),3,IF(AND(I770="Kirk",J770="Referral"),2,IF(AND(I770="Kirk",J770="Transfer"),2,IF(AND(I770="Justin",J770="Onboarded"),3,IF(AND(I770="Justin",J770="Referral"),2,IF(AND(I770="Justin",J770="Transfer"),2,IF(AND(I770="Reyna",J770="Onboarded"),3,IF(AND(I770="Reyna",J770="Referral"),2,IF(AND(I770="Reyna",J770="Transfer"),2,0)))))))))</f>
        <v>0</v>
      </c>
    </row>
    <row r="771" spans="9:11" x14ac:dyDescent="0.25">
      <c r="I771" t="str">
        <f t="shared" si="36"/>
        <v>Unknown</v>
      </c>
      <c r="J771" t="str">
        <f t="shared" si="37"/>
        <v>Other</v>
      </c>
      <c r="K771" s="3">
        <f t="shared" si="38"/>
        <v>0</v>
      </c>
    </row>
    <row r="772" spans="9:11" x14ac:dyDescent="0.25">
      <c r="I772" t="str">
        <f t="shared" si="36"/>
        <v>Unknown</v>
      </c>
      <c r="J772" t="str">
        <f t="shared" si="37"/>
        <v>Other</v>
      </c>
      <c r="K772" s="3">
        <f t="shared" si="38"/>
        <v>0</v>
      </c>
    </row>
    <row r="773" spans="9:11" x14ac:dyDescent="0.25">
      <c r="I773" t="str">
        <f t="shared" si="36"/>
        <v>Unknown</v>
      </c>
      <c r="J773" t="str">
        <f t="shared" si="37"/>
        <v>Other</v>
      </c>
      <c r="K773" s="3">
        <f t="shared" si="38"/>
        <v>0</v>
      </c>
    </row>
    <row r="774" spans="9:11" x14ac:dyDescent="0.25">
      <c r="I774" t="str">
        <f t="shared" si="36"/>
        <v>Unknown</v>
      </c>
      <c r="J774" t="str">
        <f t="shared" si="37"/>
        <v>Other</v>
      </c>
      <c r="K774" s="3">
        <f t="shared" si="38"/>
        <v>0</v>
      </c>
    </row>
    <row r="775" spans="9:11" x14ac:dyDescent="0.25">
      <c r="I775" t="str">
        <f t="shared" si="36"/>
        <v>Unknown</v>
      </c>
      <c r="J775" t="str">
        <f t="shared" si="37"/>
        <v>Other</v>
      </c>
      <c r="K775" s="3">
        <f t="shared" si="38"/>
        <v>0</v>
      </c>
    </row>
    <row r="776" spans="9:11" x14ac:dyDescent="0.25">
      <c r="I776" t="str">
        <f t="shared" si="36"/>
        <v>Unknown</v>
      </c>
      <c r="J776" t="str">
        <f t="shared" si="37"/>
        <v>Other</v>
      </c>
      <c r="K776" s="3">
        <f t="shared" si="38"/>
        <v>0</v>
      </c>
    </row>
    <row r="777" spans="9:11" x14ac:dyDescent="0.25">
      <c r="I777" t="str">
        <f t="shared" si="36"/>
        <v>Unknown</v>
      </c>
      <c r="J777" t="str">
        <f t="shared" si="37"/>
        <v>Other</v>
      </c>
      <c r="K777" s="3">
        <f t="shared" si="38"/>
        <v>0</v>
      </c>
    </row>
    <row r="778" spans="9:11" x14ac:dyDescent="0.25">
      <c r="I778" t="str">
        <f t="shared" si="36"/>
        <v>Unknown</v>
      </c>
      <c r="J778" t="str">
        <f t="shared" si="37"/>
        <v>Other</v>
      </c>
      <c r="K778" s="3">
        <f t="shared" si="38"/>
        <v>0</v>
      </c>
    </row>
    <row r="779" spans="9:11" x14ac:dyDescent="0.25">
      <c r="I779" t="str">
        <f t="shared" si="36"/>
        <v>Unknown</v>
      </c>
      <c r="J779" t="str">
        <f t="shared" si="37"/>
        <v>Other</v>
      </c>
      <c r="K779" s="3">
        <f t="shared" si="38"/>
        <v>0</v>
      </c>
    </row>
    <row r="780" spans="9:11" x14ac:dyDescent="0.25">
      <c r="I780" t="str">
        <f t="shared" si="36"/>
        <v>Unknown</v>
      </c>
      <c r="J780" t="str">
        <f t="shared" si="37"/>
        <v>Other</v>
      </c>
      <c r="K780" s="3">
        <f t="shared" si="38"/>
        <v>0</v>
      </c>
    </row>
    <row r="781" spans="9:11" x14ac:dyDescent="0.25">
      <c r="I781" t="str">
        <f t="shared" si="36"/>
        <v>Unknown</v>
      </c>
      <c r="J781" t="str">
        <f t="shared" si="37"/>
        <v>Other</v>
      </c>
      <c r="K781" s="3">
        <f t="shared" si="38"/>
        <v>0</v>
      </c>
    </row>
    <row r="782" spans="9:11" x14ac:dyDescent="0.25">
      <c r="I782" t="str">
        <f t="shared" si="36"/>
        <v>Unknown</v>
      </c>
      <c r="J782" t="str">
        <f t="shared" si="37"/>
        <v>Other</v>
      </c>
      <c r="K782" s="3">
        <f t="shared" si="38"/>
        <v>0</v>
      </c>
    </row>
    <row r="783" spans="9:11" x14ac:dyDescent="0.25">
      <c r="I783" t="str">
        <f t="shared" si="36"/>
        <v>Unknown</v>
      </c>
      <c r="J783" t="str">
        <f t="shared" si="37"/>
        <v>Other</v>
      </c>
      <c r="K783" s="3">
        <f t="shared" si="38"/>
        <v>0</v>
      </c>
    </row>
    <row r="784" spans="9:11" x14ac:dyDescent="0.25">
      <c r="I784" t="str">
        <f t="shared" si="36"/>
        <v>Unknown</v>
      </c>
      <c r="J784" t="str">
        <f t="shared" si="37"/>
        <v>Other</v>
      </c>
      <c r="K784" s="3">
        <f t="shared" si="38"/>
        <v>0</v>
      </c>
    </row>
    <row r="785" spans="9:11" x14ac:dyDescent="0.25">
      <c r="I785" t="str">
        <f t="shared" si="36"/>
        <v>Unknown</v>
      </c>
      <c r="J785" t="str">
        <f t="shared" si="37"/>
        <v>Other</v>
      </c>
      <c r="K785" s="3">
        <f t="shared" si="38"/>
        <v>0</v>
      </c>
    </row>
    <row r="786" spans="9:11" x14ac:dyDescent="0.25">
      <c r="I786" t="str">
        <f t="shared" si="36"/>
        <v>Unknown</v>
      </c>
      <c r="J786" t="str">
        <f t="shared" si="37"/>
        <v>Other</v>
      </c>
      <c r="K786" s="3">
        <f t="shared" si="38"/>
        <v>0</v>
      </c>
    </row>
    <row r="787" spans="9:11" x14ac:dyDescent="0.25">
      <c r="I787" t="str">
        <f t="shared" si="36"/>
        <v>Unknown</v>
      </c>
      <c r="J787" t="str">
        <f t="shared" si="37"/>
        <v>Other</v>
      </c>
      <c r="K787" s="3">
        <f t="shared" si="38"/>
        <v>0</v>
      </c>
    </row>
    <row r="788" spans="9:11" x14ac:dyDescent="0.25">
      <c r="I788" t="str">
        <f t="shared" si="36"/>
        <v>Unknown</v>
      </c>
      <c r="J788" t="str">
        <f t="shared" si="37"/>
        <v>Other</v>
      </c>
      <c r="K788" s="3">
        <f t="shared" si="38"/>
        <v>0</v>
      </c>
    </row>
    <row r="789" spans="9:11" x14ac:dyDescent="0.25">
      <c r="I789" t="str">
        <f t="shared" si="36"/>
        <v>Unknown</v>
      </c>
      <c r="J789" t="str">
        <f t="shared" si="37"/>
        <v>Other</v>
      </c>
      <c r="K789" s="3">
        <f t="shared" si="38"/>
        <v>0</v>
      </c>
    </row>
    <row r="790" spans="9:11" x14ac:dyDescent="0.25">
      <c r="I790" t="str">
        <f t="shared" si="36"/>
        <v>Unknown</v>
      </c>
      <c r="J790" t="str">
        <f t="shared" si="37"/>
        <v>Other</v>
      </c>
      <c r="K790" s="3">
        <f t="shared" si="38"/>
        <v>0</v>
      </c>
    </row>
    <row r="791" spans="9:11" x14ac:dyDescent="0.25">
      <c r="I791" t="str">
        <f t="shared" si="36"/>
        <v>Unknown</v>
      </c>
      <c r="J791" t="str">
        <f t="shared" si="37"/>
        <v>Other</v>
      </c>
      <c r="K791" s="3">
        <f t="shared" si="38"/>
        <v>0</v>
      </c>
    </row>
    <row r="792" spans="9:11" x14ac:dyDescent="0.25">
      <c r="I792" t="str">
        <f t="shared" si="36"/>
        <v>Unknown</v>
      </c>
      <c r="J792" t="str">
        <f t="shared" si="37"/>
        <v>Other</v>
      </c>
      <c r="K792" s="3">
        <f t="shared" si="38"/>
        <v>0</v>
      </c>
    </row>
    <row r="793" spans="9:11" x14ac:dyDescent="0.25">
      <c r="I793" t="str">
        <f t="shared" si="36"/>
        <v>Unknown</v>
      </c>
      <c r="J793" t="str">
        <f t="shared" si="37"/>
        <v>Other</v>
      </c>
      <c r="K793" s="3">
        <f t="shared" si="38"/>
        <v>0</v>
      </c>
    </row>
    <row r="794" spans="9:11" x14ac:dyDescent="0.25">
      <c r="I794" t="str">
        <f t="shared" si="36"/>
        <v>Unknown</v>
      </c>
      <c r="J794" t="str">
        <f t="shared" si="37"/>
        <v>Other</v>
      </c>
      <c r="K794" s="3">
        <f t="shared" si="38"/>
        <v>0</v>
      </c>
    </row>
    <row r="795" spans="9:11" x14ac:dyDescent="0.25">
      <c r="I795" t="str">
        <f t="shared" si="36"/>
        <v>Unknown</v>
      </c>
      <c r="J795" t="str">
        <f t="shared" si="37"/>
        <v>Other</v>
      </c>
      <c r="K795" s="3">
        <f t="shared" si="38"/>
        <v>0</v>
      </c>
    </row>
    <row r="796" spans="9:11" x14ac:dyDescent="0.25">
      <c r="I796" t="str">
        <f t="shared" si="36"/>
        <v>Unknown</v>
      </c>
      <c r="J796" t="str">
        <f t="shared" si="37"/>
        <v>Other</v>
      </c>
      <c r="K796" s="3">
        <f t="shared" si="38"/>
        <v>0</v>
      </c>
    </row>
    <row r="797" spans="9:11" x14ac:dyDescent="0.25">
      <c r="I797" t="str">
        <f t="shared" si="36"/>
        <v>Unknown</v>
      </c>
      <c r="J797" t="str">
        <f t="shared" si="37"/>
        <v>Other</v>
      </c>
      <c r="K797" s="3">
        <f t="shared" si="38"/>
        <v>0</v>
      </c>
    </row>
    <row r="798" spans="9:11" x14ac:dyDescent="0.25">
      <c r="I798" t="str">
        <f t="shared" si="36"/>
        <v>Unknown</v>
      </c>
      <c r="J798" t="str">
        <f t="shared" si="37"/>
        <v>Other</v>
      </c>
      <c r="K798" s="3">
        <f t="shared" si="38"/>
        <v>0</v>
      </c>
    </row>
    <row r="799" spans="9:11" x14ac:dyDescent="0.25">
      <c r="I799" t="str">
        <f t="shared" si="36"/>
        <v>Unknown</v>
      </c>
      <c r="J799" t="str">
        <f t="shared" si="37"/>
        <v>Other</v>
      </c>
      <c r="K799" s="3">
        <f t="shared" si="38"/>
        <v>0</v>
      </c>
    </row>
    <row r="800" spans="9:11" x14ac:dyDescent="0.25">
      <c r="I800" t="str">
        <f t="shared" si="36"/>
        <v>Unknown</v>
      </c>
      <c r="J800" t="str">
        <f t="shared" si="37"/>
        <v>Other</v>
      </c>
      <c r="K800" s="3">
        <f t="shared" si="38"/>
        <v>0</v>
      </c>
    </row>
    <row r="801" spans="9:11" x14ac:dyDescent="0.25">
      <c r="I801" t="str">
        <f t="shared" si="36"/>
        <v>Unknown</v>
      </c>
      <c r="J801" t="str">
        <f t="shared" si="37"/>
        <v>Other</v>
      </c>
      <c r="K801" s="3">
        <f t="shared" si="38"/>
        <v>0</v>
      </c>
    </row>
    <row r="802" spans="9:11" x14ac:dyDescent="0.25">
      <c r="I802" t="str">
        <f t="shared" si="36"/>
        <v>Unknown</v>
      </c>
      <c r="J802" t="str">
        <f t="shared" si="37"/>
        <v>Other</v>
      </c>
      <c r="K802" s="3">
        <f t="shared" si="38"/>
        <v>0</v>
      </c>
    </row>
    <row r="803" spans="9:11" x14ac:dyDescent="0.25">
      <c r="I803" t="str">
        <f t="shared" si="36"/>
        <v>Unknown</v>
      </c>
      <c r="J803" t="str">
        <f t="shared" si="37"/>
        <v>Other</v>
      </c>
      <c r="K803" s="3">
        <f t="shared" si="38"/>
        <v>0</v>
      </c>
    </row>
    <row r="804" spans="9:11" x14ac:dyDescent="0.25">
      <c r="I804" t="str">
        <f t="shared" si="36"/>
        <v>Unknown</v>
      </c>
      <c r="J804" t="str">
        <f t="shared" si="37"/>
        <v>Other</v>
      </c>
      <c r="K804" s="3">
        <f t="shared" si="38"/>
        <v>0</v>
      </c>
    </row>
    <row r="805" spans="9:11" x14ac:dyDescent="0.25">
      <c r="I805" t="str">
        <f t="shared" si="36"/>
        <v>Unknown</v>
      </c>
      <c r="J805" t="str">
        <f t="shared" si="37"/>
        <v>Other</v>
      </c>
      <c r="K805" s="3">
        <f t="shared" si="38"/>
        <v>0</v>
      </c>
    </row>
    <row r="806" spans="9:11" x14ac:dyDescent="0.25">
      <c r="I806" t="str">
        <f t="shared" si="36"/>
        <v>Unknown</v>
      </c>
      <c r="J806" t="str">
        <f t="shared" si="37"/>
        <v>Other</v>
      </c>
      <c r="K806" s="3">
        <f t="shared" si="38"/>
        <v>0</v>
      </c>
    </row>
    <row r="807" spans="9:11" x14ac:dyDescent="0.25">
      <c r="I807" t="str">
        <f t="shared" si="36"/>
        <v>Unknown</v>
      </c>
      <c r="J807" t="str">
        <f t="shared" si="37"/>
        <v>Other</v>
      </c>
      <c r="K807" s="3">
        <f t="shared" si="38"/>
        <v>0</v>
      </c>
    </row>
    <row r="808" spans="9:11" x14ac:dyDescent="0.25">
      <c r="I808" t="str">
        <f t="shared" si="36"/>
        <v>Unknown</v>
      </c>
      <c r="J808" t="str">
        <f t="shared" si="37"/>
        <v>Other</v>
      </c>
      <c r="K808" s="3">
        <f t="shared" si="38"/>
        <v>0</v>
      </c>
    </row>
    <row r="809" spans="9:11" x14ac:dyDescent="0.25">
      <c r="I809" t="str">
        <f t="shared" si="36"/>
        <v>Unknown</v>
      </c>
      <c r="J809" t="str">
        <f t="shared" si="37"/>
        <v>Other</v>
      </c>
      <c r="K809" s="3">
        <f t="shared" si="38"/>
        <v>0</v>
      </c>
    </row>
    <row r="810" spans="9:11" x14ac:dyDescent="0.25">
      <c r="I810" t="str">
        <f t="shared" si="36"/>
        <v>Unknown</v>
      </c>
      <c r="J810" t="str">
        <f t="shared" si="37"/>
        <v>Other</v>
      </c>
      <c r="K810" s="3">
        <f t="shared" si="38"/>
        <v>0</v>
      </c>
    </row>
    <row r="811" spans="9:11" x14ac:dyDescent="0.25">
      <c r="I811" t="str">
        <f t="shared" si="36"/>
        <v>Unknown</v>
      </c>
      <c r="J811" t="str">
        <f t="shared" si="37"/>
        <v>Other</v>
      </c>
      <c r="K811" s="3">
        <f t="shared" si="38"/>
        <v>0</v>
      </c>
    </row>
    <row r="812" spans="9:11" x14ac:dyDescent="0.25">
      <c r="I812" t="str">
        <f t="shared" si="36"/>
        <v>Unknown</v>
      </c>
      <c r="J812" t="str">
        <f t="shared" si="37"/>
        <v>Other</v>
      </c>
      <c r="K812" s="3">
        <f t="shared" si="38"/>
        <v>0</v>
      </c>
    </row>
    <row r="813" spans="9:11" x14ac:dyDescent="0.25">
      <c r="I813" t="str">
        <f t="shared" si="36"/>
        <v>Unknown</v>
      </c>
      <c r="J813" t="str">
        <f t="shared" si="37"/>
        <v>Other</v>
      </c>
      <c r="K813" s="3">
        <f t="shared" si="38"/>
        <v>0</v>
      </c>
    </row>
    <row r="814" spans="9:11" x14ac:dyDescent="0.25">
      <c r="I814" t="str">
        <f t="shared" si="36"/>
        <v>Unknown</v>
      </c>
      <c r="J814" t="str">
        <f t="shared" si="37"/>
        <v>Other</v>
      </c>
      <c r="K814" s="3">
        <f t="shared" si="38"/>
        <v>0</v>
      </c>
    </row>
    <row r="815" spans="9:11" x14ac:dyDescent="0.25">
      <c r="I815" t="str">
        <f t="shared" si="36"/>
        <v>Unknown</v>
      </c>
      <c r="J815" t="str">
        <f t="shared" si="37"/>
        <v>Other</v>
      </c>
      <c r="K815" s="3">
        <f t="shared" si="38"/>
        <v>0</v>
      </c>
    </row>
    <row r="816" spans="9:11" x14ac:dyDescent="0.25">
      <c r="I816" t="str">
        <f t="shared" si="36"/>
        <v>Unknown</v>
      </c>
      <c r="J816" t="str">
        <f t="shared" si="37"/>
        <v>Other</v>
      </c>
      <c r="K816" s="3">
        <f t="shared" si="38"/>
        <v>0</v>
      </c>
    </row>
    <row r="817" spans="9:11" x14ac:dyDescent="0.25">
      <c r="I817" t="str">
        <f t="shared" si="36"/>
        <v>Unknown</v>
      </c>
      <c r="J817" t="str">
        <f t="shared" si="37"/>
        <v>Other</v>
      </c>
      <c r="K817" s="3">
        <f t="shared" si="38"/>
        <v>0</v>
      </c>
    </row>
    <row r="818" spans="9:11" x14ac:dyDescent="0.25">
      <c r="I818" t="str">
        <f t="shared" si="36"/>
        <v>Unknown</v>
      </c>
      <c r="J818" t="str">
        <f t="shared" si="37"/>
        <v>Other</v>
      </c>
      <c r="K818" s="3">
        <f t="shared" si="38"/>
        <v>0</v>
      </c>
    </row>
    <row r="819" spans="9:11" x14ac:dyDescent="0.25">
      <c r="I819" t="str">
        <f t="shared" si="36"/>
        <v>Unknown</v>
      </c>
      <c r="J819" t="str">
        <f t="shared" si="37"/>
        <v>Other</v>
      </c>
      <c r="K819" s="3">
        <f t="shared" si="38"/>
        <v>0</v>
      </c>
    </row>
    <row r="820" spans="9:11" x14ac:dyDescent="0.25">
      <c r="I820" t="str">
        <f t="shared" si="36"/>
        <v>Unknown</v>
      </c>
      <c r="J820" t="str">
        <f t="shared" si="37"/>
        <v>Other</v>
      </c>
      <c r="K820" s="3">
        <f t="shared" si="38"/>
        <v>0</v>
      </c>
    </row>
    <row r="821" spans="9:11" x14ac:dyDescent="0.25">
      <c r="I821" t="str">
        <f t="shared" si="36"/>
        <v>Unknown</v>
      </c>
      <c r="J821" t="str">
        <f t="shared" si="37"/>
        <v>Other</v>
      </c>
      <c r="K821" s="3">
        <f t="shared" si="38"/>
        <v>0</v>
      </c>
    </row>
    <row r="822" spans="9:11" x14ac:dyDescent="0.25">
      <c r="I822" t="str">
        <f t="shared" si="36"/>
        <v>Unknown</v>
      </c>
      <c r="J822" t="str">
        <f t="shared" si="37"/>
        <v>Other</v>
      </c>
      <c r="K822" s="3">
        <f t="shared" si="38"/>
        <v>0</v>
      </c>
    </row>
    <row r="823" spans="9:11" x14ac:dyDescent="0.25">
      <c r="I823" t="str">
        <f t="shared" si="36"/>
        <v>Unknown</v>
      </c>
      <c r="J823" t="str">
        <f t="shared" si="37"/>
        <v>Other</v>
      </c>
      <c r="K823" s="3">
        <f t="shared" si="38"/>
        <v>0</v>
      </c>
    </row>
    <row r="824" spans="9:11" x14ac:dyDescent="0.25">
      <c r="I824" t="str">
        <f t="shared" si="36"/>
        <v>Unknown</v>
      </c>
      <c r="J824" t="str">
        <f t="shared" si="37"/>
        <v>Other</v>
      </c>
      <c r="K824" s="3">
        <f t="shared" si="38"/>
        <v>0</v>
      </c>
    </row>
    <row r="825" spans="9:11" x14ac:dyDescent="0.25">
      <c r="I825" t="str">
        <f t="shared" si="36"/>
        <v>Unknown</v>
      </c>
      <c r="J825" t="str">
        <f t="shared" si="37"/>
        <v>Other</v>
      </c>
      <c r="K825" s="3">
        <f t="shared" si="38"/>
        <v>0</v>
      </c>
    </row>
    <row r="826" spans="9:11" x14ac:dyDescent="0.25">
      <c r="I826" t="str">
        <f t="shared" si="36"/>
        <v>Unknown</v>
      </c>
      <c r="J826" t="str">
        <f t="shared" si="37"/>
        <v>Other</v>
      </c>
      <c r="K826" s="3">
        <f t="shared" si="38"/>
        <v>0</v>
      </c>
    </row>
    <row r="827" spans="9:11" x14ac:dyDescent="0.25">
      <c r="I827" t="str">
        <f t="shared" si="36"/>
        <v>Unknown</v>
      </c>
      <c r="J827" t="str">
        <f t="shared" si="37"/>
        <v>Other</v>
      </c>
      <c r="K827" s="3">
        <f t="shared" si="38"/>
        <v>0</v>
      </c>
    </row>
    <row r="828" spans="9:11" x14ac:dyDescent="0.25">
      <c r="I828" t="str">
        <f t="shared" si="36"/>
        <v>Unknown</v>
      </c>
      <c r="J828" t="str">
        <f t="shared" si="37"/>
        <v>Other</v>
      </c>
      <c r="K828" s="3">
        <f t="shared" si="38"/>
        <v>0</v>
      </c>
    </row>
    <row r="829" spans="9:11" x14ac:dyDescent="0.25">
      <c r="I829" t="str">
        <f t="shared" si="36"/>
        <v>Unknown</v>
      </c>
      <c r="J829" t="str">
        <f t="shared" si="37"/>
        <v>Other</v>
      </c>
      <c r="K829" s="3">
        <f t="shared" si="38"/>
        <v>0</v>
      </c>
    </row>
    <row r="830" spans="9:11" x14ac:dyDescent="0.25">
      <c r="I830" t="str">
        <f t="shared" si="36"/>
        <v>Unknown</v>
      </c>
      <c r="J830" t="str">
        <f t="shared" si="37"/>
        <v>Other</v>
      </c>
      <c r="K830" s="3">
        <f t="shared" si="38"/>
        <v>0</v>
      </c>
    </row>
    <row r="831" spans="9:11" x14ac:dyDescent="0.25">
      <c r="I831" t="str">
        <f t="shared" si="36"/>
        <v>Unknown</v>
      </c>
      <c r="J831" t="str">
        <f t="shared" si="37"/>
        <v>Other</v>
      </c>
      <c r="K831" s="3">
        <f t="shared" si="38"/>
        <v>0</v>
      </c>
    </row>
    <row r="832" spans="9:11" x14ac:dyDescent="0.25">
      <c r="I832" t="str">
        <f t="shared" si="36"/>
        <v>Unknown</v>
      </c>
      <c r="J832" t="str">
        <f t="shared" si="37"/>
        <v>Other</v>
      </c>
      <c r="K832" s="3">
        <f t="shared" si="38"/>
        <v>0</v>
      </c>
    </row>
    <row r="833" spans="9:11" x14ac:dyDescent="0.25">
      <c r="I833" t="str">
        <f t="shared" si="36"/>
        <v>Unknown</v>
      </c>
      <c r="J833" t="str">
        <f t="shared" si="37"/>
        <v>Other</v>
      </c>
      <c r="K833" s="3">
        <f t="shared" si="38"/>
        <v>0</v>
      </c>
    </row>
    <row r="834" spans="9:11" x14ac:dyDescent="0.25">
      <c r="I834" t="str">
        <f t="shared" ref="I834:I897" si="39">IF(ISNUMBER(SEARCH("kirk",F834)),"Kirk",IF(ISNUMBER(SEARCH("justin",F834)),"Justin",IF(ISNUMBER(SEARCH("reyna",F834)),"Reyna","Unknown")))</f>
        <v>Unknown</v>
      </c>
      <c r="J834" t="str">
        <f t="shared" ref="J834:J897" si="40">IF(ISNUMBER(SEARCH("onboard",F834)),"Onboarded",IF(ISNUMBER(SEARCH("referr",F834)),"Referral",IF(ISNUMBER(SEARCH("transfer",F834)),"Transfer","Other")))</f>
        <v>Other</v>
      </c>
      <c r="K834" s="3">
        <f t="shared" ref="K834:K897" si="41">IF(AND(I834="Kirk",J834="Onboarded"),3,IF(AND(I834="Kirk",J834="Referral"),2,IF(AND(I834="Kirk",J834="Transfer"),2,IF(AND(I834="Justin",J834="Onboarded"),3,IF(AND(I834="Justin",J834="Referral"),2,IF(AND(I834="Justin",J834="Transfer"),2,IF(AND(I834="Reyna",J834="Onboarded"),3,IF(AND(I834="Reyna",J834="Referral"),2,IF(AND(I834="Reyna",J834="Transfer"),2,0)))))))))</f>
        <v>0</v>
      </c>
    </row>
    <row r="835" spans="9:11" x14ac:dyDescent="0.25">
      <c r="I835" t="str">
        <f t="shared" si="39"/>
        <v>Unknown</v>
      </c>
      <c r="J835" t="str">
        <f t="shared" si="40"/>
        <v>Other</v>
      </c>
      <c r="K835" s="3">
        <f t="shared" si="41"/>
        <v>0</v>
      </c>
    </row>
    <row r="836" spans="9:11" x14ac:dyDescent="0.25">
      <c r="I836" t="str">
        <f t="shared" si="39"/>
        <v>Unknown</v>
      </c>
      <c r="J836" t="str">
        <f t="shared" si="40"/>
        <v>Other</v>
      </c>
      <c r="K836" s="3">
        <f t="shared" si="41"/>
        <v>0</v>
      </c>
    </row>
    <row r="837" spans="9:11" x14ac:dyDescent="0.25">
      <c r="I837" t="str">
        <f t="shared" si="39"/>
        <v>Unknown</v>
      </c>
      <c r="J837" t="str">
        <f t="shared" si="40"/>
        <v>Other</v>
      </c>
      <c r="K837" s="3">
        <f t="shared" si="41"/>
        <v>0</v>
      </c>
    </row>
    <row r="838" spans="9:11" x14ac:dyDescent="0.25">
      <c r="I838" t="str">
        <f t="shared" si="39"/>
        <v>Unknown</v>
      </c>
      <c r="J838" t="str">
        <f t="shared" si="40"/>
        <v>Other</v>
      </c>
      <c r="K838" s="3">
        <f t="shared" si="41"/>
        <v>0</v>
      </c>
    </row>
    <row r="839" spans="9:11" x14ac:dyDescent="0.25">
      <c r="I839" t="str">
        <f t="shared" si="39"/>
        <v>Unknown</v>
      </c>
      <c r="J839" t="str">
        <f t="shared" si="40"/>
        <v>Other</v>
      </c>
      <c r="K839" s="3">
        <f t="shared" si="41"/>
        <v>0</v>
      </c>
    </row>
    <row r="840" spans="9:11" x14ac:dyDescent="0.25">
      <c r="I840" t="str">
        <f t="shared" si="39"/>
        <v>Unknown</v>
      </c>
      <c r="J840" t="str">
        <f t="shared" si="40"/>
        <v>Other</v>
      </c>
      <c r="K840" s="3">
        <f t="shared" si="41"/>
        <v>0</v>
      </c>
    </row>
    <row r="841" spans="9:11" x14ac:dyDescent="0.25">
      <c r="I841" t="str">
        <f t="shared" si="39"/>
        <v>Unknown</v>
      </c>
      <c r="J841" t="str">
        <f t="shared" si="40"/>
        <v>Other</v>
      </c>
      <c r="K841" s="3">
        <f t="shared" si="41"/>
        <v>0</v>
      </c>
    </row>
    <row r="842" spans="9:11" x14ac:dyDescent="0.25">
      <c r="I842" t="str">
        <f t="shared" si="39"/>
        <v>Unknown</v>
      </c>
      <c r="J842" t="str">
        <f t="shared" si="40"/>
        <v>Other</v>
      </c>
      <c r="K842" s="3">
        <f t="shared" si="41"/>
        <v>0</v>
      </c>
    </row>
    <row r="843" spans="9:11" x14ac:dyDescent="0.25">
      <c r="I843" t="str">
        <f t="shared" si="39"/>
        <v>Unknown</v>
      </c>
      <c r="J843" t="str">
        <f t="shared" si="40"/>
        <v>Other</v>
      </c>
      <c r="K843" s="3">
        <f t="shared" si="41"/>
        <v>0</v>
      </c>
    </row>
    <row r="844" spans="9:11" x14ac:dyDescent="0.25">
      <c r="I844" t="str">
        <f t="shared" si="39"/>
        <v>Unknown</v>
      </c>
      <c r="J844" t="str">
        <f t="shared" si="40"/>
        <v>Other</v>
      </c>
      <c r="K844" s="3">
        <f t="shared" si="41"/>
        <v>0</v>
      </c>
    </row>
    <row r="845" spans="9:11" x14ac:dyDescent="0.25">
      <c r="I845" t="str">
        <f t="shared" si="39"/>
        <v>Unknown</v>
      </c>
      <c r="J845" t="str">
        <f t="shared" si="40"/>
        <v>Other</v>
      </c>
      <c r="K845" s="3">
        <f t="shared" si="41"/>
        <v>0</v>
      </c>
    </row>
    <row r="846" spans="9:11" x14ac:dyDescent="0.25">
      <c r="I846" t="str">
        <f t="shared" si="39"/>
        <v>Unknown</v>
      </c>
      <c r="J846" t="str">
        <f t="shared" si="40"/>
        <v>Other</v>
      </c>
      <c r="K846" s="3">
        <f t="shared" si="41"/>
        <v>0</v>
      </c>
    </row>
    <row r="847" spans="9:11" x14ac:dyDescent="0.25">
      <c r="I847" t="str">
        <f t="shared" si="39"/>
        <v>Unknown</v>
      </c>
      <c r="J847" t="str">
        <f t="shared" si="40"/>
        <v>Other</v>
      </c>
      <c r="K847" s="3">
        <f t="shared" si="41"/>
        <v>0</v>
      </c>
    </row>
    <row r="848" spans="9:11" x14ac:dyDescent="0.25">
      <c r="I848" t="str">
        <f t="shared" si="39"/>
        <v>Unknown</v>
      </c>
      <c r="J848" t="str">
        <f t="shared" si="40"/>
        <v>Other</v>
      </c>
      <c r="K848" s="3">
        <f t="shared" si="41"/>
        <v>0</v>
      </c>
    </row>
    <row r="849" spans="9:11" x14ac:dyDescent="0.25">
      <c r="I849" t="str">
        <f t="shared" si="39"/>
        <v>Unknown</v>
      </c>
      <c r="J849" t="str">
        <f t="shared" si="40"/>
        <v>Other</v>
      </c>
      <c r="K849" s="3">
        <f t="shared" si="41"/>
        <v>0</v>
      </c>
    </row>
    <row r="850" spans="9:11" x14ac:dyDescent="0.25">
      <c r="I850" t="str">
        <f t="shared" si="39"/>
        <v>Unknown</v>
      </c>
      <c r="J850" t="str">
        <f t="shared" si="40"/>
        <v>Other</v>
      </c>
      <c r="K850" s="3">
        <f t="shared" si="41"/>
        <v>0</v>
      </c>
    </row>
    <row r="851" spans="9:11" x14ac:dyDescent="0.25">
      <c r="I851" t="str">
        <f t="shared" si="39"/>
        <v>Unknown</v>
      </c>
      <c r="J851" t="str">
        <f t="shared" si="40"/>
        <v>Other</v>
      </c>
      <c r="K851" s="3">
        <f t="shared" si="41"/>
        <v>0</v>
      </c>
    </row>
    <row r="852" spans="9:11" x14ac:dyDescent="0.25">
      <c r="I852" t="str">
        <f t="shared" si="39"/>
        <v>Unknown</v>
      </c>
      <c r="J852" t="str">
        <f t="shared" si="40"/>
        <v>Other</v>
      </c>
      <c r="K852" s="3">
        <f t="shared" si="41"/>
        <v>0</v>
      </c>
    </row>
    <row r="853" spans="9:11" x14ac:dyDescent="0.25">
      <c r="I853" t="str">
        <f t="shared" si="39"/>
        <v>Unknown</v>
      </c>
      <c r="J853" t="str">
        <f t="shared" si="40"/>
        <v>Other</v>
      </c>
      <c r="K853" s="3">
        <f t="shared" si="41"/>
        <v>0</v>
      </c>
    </row>
    <row r="854" spans="9:11" x14ac:dyDescent="0.25">
      <c r="I854" t="str">
        <f t="shared" si="39"/>
        <v>Unknown</v>
      </c>
      <c r="J854" t="str">
        <f t="shared" si="40"/>
        <v>Other</v>
      </c>
      <c r="K854" s="3">
        <f t="shared" si="41"/>
        <v>0</v>
      </c>
    </row>
    <row r="855" spans="9:11" x14ac:dyDescent="0.25">
      <c r="I855" t="str">
        <f t="shared" si="39"/>
        <v>Unknown</v>
      </c>
      <c r="J855" t="str">
        <f t="shared" si="40"/>
        <v>Other</v>
      </c>
      <c r="K855" s="3">
        <f t="shared" si="41"/>
        <v>0</v>
      </c>
    </row>
    <row r="856" spans="9:11" x14ac:dyDescent="0.25">
      <c r="I856" t="str">
        <f t="shared" si="39"/>
        <v>Unknown</v>
      </c>
      <c r="J856" t="str">
        <f t="shared" si="40"/>
        <v>Other</v>
      </c>
      <c r="K856" s="3">
        <f t="shared" si="41"/>
        <v>0</v>
      </c>
    </row>
    <row r="857" spans="9:11" x14ac:dyDescent="0.25">
      <c r="I857" t="str">
        <f t="shared" si="39"/>
        <v>Unknown</v>
      </c>
      <c r="J857" t="str">
        <f t="shared" si="40"/>
        <v>Other</v>
      </c>
      <c r="K857" s="3">
        <f t="shared" si="41"/>
        <v>0</v>
      </c>
    </row>
    <row r="858" spans="9:11" x14ac:dyDescent="0.25">
      <c r="I858" t="str">
        <f t="shared" si="39"/>
        <v>Unknown</v>
      </c>
      <c r="J858" t="str">
        <f t="shared" si="40"/>
        <v>Other</v>
      </c>
      <c r="K858" s="3">
        <f t="shared" si="41"/>
        <v>0</v>
      </c>
    </row>
    <row r="859" spans="9:11" x14ac:dyDescent="0.25">
      <c r="I859" t="str">
        <f t="shared" si="39"/>
        <v>Unknown</v>
      </c>
      <c r="J859" t="str">
        <f t="shared" si="40"/>
        <v>Other</v>
      </c>
      <c r="K859" s="3">
        <f t="shared" si="41"/>
        <v>0</v>
      </c>
    </row>
    <row r="860" spans="9:11" x14ac:dyDescent="0.25">
      <c r="I860" t="str">
        <f t="shared" si="39"/>
        <v>Unknown</v>
      </c>
      <c r="J860" t="str">
        <f t="shared" si="40"/>
        <v>Other</v>
      </c>
      <c r="K860" s="3">
        <f t="shared" si="41"/>
        <v>0</v>
      </c>
    </row>
    <row r="861" spans="9:11" x14ac:dyDescent="0.25">
      <c r="I861" t="str">
        <f t="shared" si="39"/>
        <v>Unknown</v>
      </c>
      <c r="J861" t="str">
        <f t="shared" si="40"/>
        <v>Other</v>
      </c>
      <c r="K861" s="3">
        <f t="shared" si="41"/>
        <v>0</v>
      </c>
    </row>
    <row r="862" spans="9:11" x14ac:dyDescent="0.25">
      <c r="I862" t="str">
        <f t="shared" si="39"/>
        <v>Unknown</v>
      </c>
      <c r="J862" t="str">
        <f t="shared" si="40"/>
        <v>Other</v>
      </c>
      <c r="K862" s="3">
        <f t="shared" si="41"/>
        <v>0</v>
      </c>
    </row>
    <row r="863" spans="9:11" x14ac:dyDescent="0.25">
      <c r="I863" t="str">
        <f t="shared" si="39"/>
        <v>Unknown</v>
      </c>
      <c r="J863" t="str">
        <f t="shared" si="40"/>
        <v>Other</v>
      </c>
      <c r="K863" s="3">
        <f t="shared" si="41"/>
        <v>0</v>
      </c>
    </row>
    <row r="864" spans="9:11" x14ac:dyDescent="0.25">
      <c r="I864" t="str">
        <f t="shared" si="39"/>
        <v>Unknown</v>
      </c>
      <c r="J864" t="str">
        <f t="shared" si="40"/>
        <v>Other</v>
      </c>
      <c r="K864" s="3">
        <f t="shared" si="41"/>
        <v>0</v>
      </c>
    </row>
    <row r="865" spans="9:11" x14ac:dyDescent="0.25">
      <c r="I865" t="str">
        <f t="shared" si="39"/>
        <v>Unknown</v>
      </c>
      <c r="J865" t="str">
        <f t="shared" si="40"/>
        <v>Other</v>
      </c>
      <c r="K865" s="3">
        <f t="shared" si="41"/>
        <v>0</v>
      </c>
    </row>
    <row r="866" spans="9:11" x14ac:dyDescent="0.25">
      <c r="I866" t="str">
        <f t="shared" si="39"/>
        <v>Unknown</v>
      </c>
      <c r="J866" t="str">
        <f t="shared" si="40"/>
        <v>Other</v>
      </c>
      <c r="K866" s="3">
        <f t="shared" si="41"/>
        <v>0</v>
      </c>
    </row>
    <row r="867" spans="9:11" x14ac:dyDescent="0.25">
      <c r="I867" t="str">
        <f t="shared" si="39"/>
        <v>Unknown</v>
      </c>
      <c r="J867" t="str">
        <f t="shared" si="40"/>
        <v>Other</v>
      </c>
      <c r="K867" s="3">
        <f t="shared" si="41"/>
        <v>0</v>
      </c>
    </row>
    <row r="868" spans="9:11" x14ac:dyDescent="0.25">
      <c r="I868" t="str">
        <f t="shared" si="39"/>
        <v>Unknown</v>
      </c>
      <c r="J868" t="str">
        <f t="shared" si="40"/>
        <v>Other</v>
      </c>
      <c r="K868" s="3">
        <f t="shared" si="41"/>
        <v>0</v>
      </c>
    </row>
    <row r="869" spans="9:11" x14ac:dyDescent="0.25">
      <c r="I869" t="str">
        <f t="shared" si="39"/>
        <v>Unknown</v>
      </c>
      <c r="J869" t="str">
        <f t="shared" si="40"/>
        <v>Other</v>
      </c>
      <c r="K869" s="3">
        <f t="shared" si="41"/>
        <v>0</v>
      </c>
    </row>
    <row r="870" spans="9:11" x14ac:dyDescent="0.25">
      <c r="I870" t="str">
        <f t="shared" si="39"/>
        <v>Unknown</v>
      </c>
      <c r="J870" t="str">
        <f t="shared" si="40"/>
        <v>Other</v>
      </c>
      <c r="K870" s="3">
        <f t="shared" si="41"/>
        <v>0</v>
      </c>
    </row>
    <row r="871" spans="9:11" x14ac:dyDescent="0.25">
      <c r="I871" t="str">
        <f t="shared" si="39"/>
        <v>Unknown</v>
      </c>
      <c r="J871" t="str">
        <f t="shared" si="40"/>
        <v>Other</v>
      </c>
      <c r="K871" s="3">
        <f t="shared" si="41"/>
        <v>0</v>
      </c>
    </row>
    <row r="872" spans="9:11" x14ac:dyDescent="0.25">
      <c r="I872" t="str">
        <f t="shared" si="39"/>
        <v>Unknown</v>
      </c>
      <c r="J872" t="str">
        <f t="shared" si="40"/>
        <v>Other</v>
      </c>
      <c r="K872" s="3">
        <f t="shared" si="41"/>
        <v>0</v>
      </c>
    </row>
    <row r="873" spans="9:11" x14ac:dyDescent="0.25">
      <c r="I873" t="str">
        <f t="shared" si="39"/>
        <v>Unknown</v>
      </c>
      <c r="J873" t="str">
        <f t="shared" si="40"/>
        <v>Other</v>
      </c>
      <c r="K873" s="3">
        <f t="shared" si="41"/>
        <v>0</v>
      </c>
    </row>
    <row r="874" spans="9:11" x14ac:dyDescent="0.25">
      <c r="I874" t="str">
        <f t="shared" si="39"/>
        <v>Unknown</v>
      </c>
      <c r="J874" t="str">
        <f t="shared" si="40"/>
        <v>Other</v>
      </c>
      <c r="K874" s="3">
        <f t="shared" si="41"/>
        <v>0</v>
      </c>
    </row>
    <row r="875" spans="9:11" x14ac:dyDescent="0.25">
      <c r="I875" t="str">
        <f t="shared" si="39"/>
        <v>Unknown</v>
      </c>
      <c r="J875" t="str">
        <f t="shared" si="40"/>
        <v>Other</v>
      </c>
      <c r="K875" s="3">
        <f t="shared" si="41"/>
        <v>0</v>
      </c>
    </row>
    <row r="876" spans="9:11" x14ac:dyDescent="0.25">
      <c r="I876" t="str">
        <f t="shared" si="39"/>
        <v>Unknown</v>
      </c>
      <c r="J876" t="str">
        <f t="shared" si="40"/>
        <v>Other</v>
      </c>
      <c r="K876" s="3">
        <f t="shared" si="41"/>
        <v>0</v>
      </c>
    </row>
    <row r="877" spans="9:11" x14ac:dyDescent="0.25">
      <c r="I877" t="str">
        <f t="shared" si="39"/>
        <v>Unknown</v>
      </c>
      <c r="J877" t="str">
        <f t="shared" si="40"/>
        <v>Other</v>
      </c>
      <c r="K877" s="3">
        <f t="shared" si="41"/>
        <v>0</v>
      </c>
    </row>
    <row r="878" spans="9:11" x14ac:dyDescent="0.25">
      <c r="I878" t="str">
        <f t="shared" si="39"/>
        <v>Unknown</v>
      </c>
      <c r="J878" t="str">
        <f t="shared" si="40"/>
        <v>Other</v>
      </c>
      <c r="K878" s="3">
        <f t="shared" si="41"/>
        <v>0</v>
      </c>
    </row>
    <row r="879" spans="9:11" x14ac:dyDescent="0.25">
      <c r="I879" t="str">
        <f t="shared" si="39"/>
        <v>Unknown</v>
      </c>
      <c r="J879" t="str">
        <f t="shared" si="40"/>
        <v>Other</v>
      </c>
      <c r="K879" s="3">
        <f t="shared" si="41"/>
        <v>0</v>
      </c>
    </row>
    <row r="880" spans="9:11" x14ac:dyDescent="0.25">
      <c r="I880" t="str">
        <f t="shared" si="39"/>
        <v>Unknown</v>
      </c>
      <c r="J880" t="str">
        <f t="shared" si="40"/>
        <v>Other</v>
      </c>
      <c r="K880" s="3">
        <f t="shared" si="41"/>
        <v>0</v>
      </c>
    </row>
    <row r="881" spans="9:11" x14ac:dyDescent="0.25">
      <c r="I881" t="str">
        <f t="shared" si="39"/>
        <v>Unknown</v>
      </c>
      <c r="J881" t="str">
        <f t="shared" si="40"/>
        <v>Other</v>
      </c>
      <c r="K881" s="3">
        <f t="shared" si="41"/>
        <v>0</v>
      </c>
    </row>
    <row r="882" spans="9:11" x14ac:dyDescent="0.25">
      <c r="I882" t="str">
        <f t="shared" si="39"/>
        <v>Unknown</v>
      </c>
      <c r="J882" t="str">
        <f t="shared" si="40"/>
        <v>Other</v>
      </c>
      <c r="K882" s="3">
        <f t="shared" si="41"/>
        <v>0</v>
      </c>
    </row>
    <row r="883" spans="9:11" x14ac:dyDescent="0.25">
      <c r="I883" t="str">
        <f t="shared" si="39"/>
        <v>Unknown</v>
      </c>
      <c r="J883" t="str">
        <f t="shared" si="40"/>
        <v>Other</v>
      </c>
      <c r="K883" s="3">
        <f t="shared" si="41"/>
        <v>0</v>
      </c>
    </row>
    <row r="884" spans="9:11" x14ac:dyDescent="0.25">
      <c r="I884" t="str">
        <f t="shared" si="39"/>
        <v>Unknown</v>
      </c>
      <c r="J884" t="str">
        <f t="shared" si="40"/>
        <v>Other</v>
      </c>
      <c r="K884" s="3">
        <f t="shared" si="41"/>
        <v>0</v>
      </c>
    </row>
    <row r="885" spans="9:11" x14ac:dyDescent="0.25">
      <c r="I885" t="str">
        <f t="shared" si="39"/>
        <v>Unknown</v>
      </c>
      <c r="J885" t="str">
        <f t="shared" si="40"/>
        <v>Other</v>
      </c>
      <c r="K885" s="3">
        <f t="shared" si="41"/>
        <v>0</v>
      </c>
    </row>
    <row r="886" spans="9:11" x14ac:dyDescent="0.25">
      <c r="I886" t="str">
        <f t="shared" si="39"/>
        <v>Unknown</v>
      </c>
      <c r="J886" t="str">
        <f t="shared" si="40"/>
        <v>Other</v>
      </c>
      <c r="K886" s="3">
        <f t="shared" si="41"/>
        <v>0</v>
      </c>
    </row>
    <row r="887" spans="9:11" x14ac:dyDescent="0.25">
      <c r="I887" t="str">
        <f t="shared" si="39"/>
        <v>Unknown</v>
      </c>
      <c r="J887" t="str">
        <f t="shared" si="40"/>
        <v>Other</v>
      </c>
      <c r="K887" s="3">
        <f t="shared" si="41"/>
        <v>0</v>
      </c>
    </row>
    <row r="888" spans="9:11" x14ac:dyDescent="0.25">
      <c r="I888" t="str">
        <f t="shared" si="39"/>
        <v>Unknown</v>
      </c>
      <c r="J888" t="str">
        <f t="shared" si="40"/>
        <v>Other</v>
      </c>
      <c r="K888" s="3">
        <f t="shared" si="41"/>
        <v>0</v>
      </c>
    </row>
    <row r="889" spans="9:11" x14ac:dyDescent="0.25">
      <c r="I889" t="str">
        <f t="shared" si="39"/>
        <v>Unknown</v>
      </c>
      <c r="J889" t="str">
        <f t="shared" si="40"/>
        <v>Other</v>
      </c>
      <c r="K889" s="3">
        <f t="shared" si="41"/>
        <v>0</v>
      </c>
    </row>
    <row r="890" spans="9:11" x14ac:dyDescent="0.25">
      <c r="I890" t="str">
        <f t="shared" si="39"/>
        <v>Unknown</v>
      </c>
      <c r="J890" t="str">
        <f t="shared" si="40"/>
        <v>Other</v>
      </c>
      <c r="K890" s="3">
        <f t="shared" si="41"/>
        <v>0</v>
      </c>
    </row>
    <row r="891" spans="9:11" x14ac:dyDescent="0.25">
      <c r="I891" t="str">
        <f t="shared" si="39"/>
        <v>Unknown</v>
      </c>
      <c r="J891" t="str">
        <f t="shared" si="40"/>
        <v>Other</v>
      </c>
      <c r="K891" s="3">
        <f t="shared" si="41"/>
        <v>0</v>
      </c>
    </row>
    <row r="892" spans="9:11" x14ac:dyDescent="0.25">
      <c r="I892" t="str">
        <f t="shared" si="39"/>
        <v>Unknown</v>
      </c>
      <c r="J892" t="str">
        <f t="shared" si="40"/>
        <v>Other</v>
      </c>
      <c r="K892" s="3">
        <f t="shared" si="41"/>
        <v>0</v>
      </c>
    </row>
    <row r="893" spans="9:11" x14ac:dyDescent="0.25">
      <c r="I893" t="str">
        <f t="shared" si="39"/>
        <v>Unknown</v>
      </c>
      <c r="J893" t="str">
        <f t="shared" si="40"/>
        <v>Other</v>
      </c>
      <c r="K893" s="3">
        <f t="shared" si="41"/>
        <v>0</v>
      </c>
    </row>
    <row r="894" spans="9:11" x14ac:dyDescent="0.25">
      <c r="I894" t="str">
        <f t="shared" si="39"/>
        <v>Unknown</v>
      </c>
      <c r="J894" t="str">
        <f t="shared" si="40"/>
        <v>Other</v>
      </c>
      <c r="K894" s="3">
        <f t="shared" si="41"/>
        <v>0</v>
      </c>
    </row>
    <row r="895" spans="9:11" x14ac:dyDescent="0.25">
      <c r="I895" t="str">
        <f t="shared" si="39"/>
        <v>Unknown</v>
      </c>
      <c r="J895" t="str">
        <f t="shared" si="40"/>
        <v>Other</v>
      </c>
      <c r="K895" s="3">
        <f t="shared" si="41"/>
        <v>0</v>
      </c>
    </row>
    <row r="896" spans="9:11" x14ac:dyDescent="0.25">
      <c r="I896" t="str">
        <f t="shared" si="39"/>
        <v>Unknown</v>
      </c>
      <c r="J896" t="str">
        <f t="shared" si="40"/>
        <v>Other</v>
      </c>
      <c r="K896" s="3">
        <f t="shared" si="41"/>
        <v>0</v>
      </c>
    </row>
    <row r="897" spans="9:11" x14ac:dyDescent="0.25">
      <c r="I897" t="str">
        <f t="shared" si="39"/>
        <v>Unknown</v>
      </c>
      <c r="J897" t="str">
        <f t="shared" si="40"/>
        <v>Other</v>
      </c>
      <c r="K897" s="3">
        <f t="shared" si="41"/>
        <v>0</v>
      </c>
    </row>
    <row r="898" spans="9:11" x14ac:dyDescent="0.25">
      <c r="I898" t="str">
        <f t="shared" ref="I898:I961" si="42">IF(ISNUMBER(SEARCH("kirk",F898)),"Kirk",IF(ISNUMBER(SEARCH("justin",F898)),"Justin",IF(ISNUMBER(SEARCH("reyna",F898)),"Reyna","Unknown")))</f>
        <v>Unknown</v>
      </c>
      <c r="J898" t="str">
        <f t="shared" ref="J898:J961" si="43">IF(ISNUMBER(SEARCH("onboard",F898)),"Onboarded",IF(ISNUMBER(SEARCH("referr",F898)),"Referral",IF(ISNUMBER(SEARCH("transfer",F898)),"Transfer","Other")))</f>
        <v>Other</v>
      </c>
      <c r="K898" s="3">
        <f t="shared" ref="K898:K961" si="44">IF(AND(I898="Kirk",J898="Onboarded"),3,IF(AND(I898="Kirk",J898="Referral"),2,IF(AND(I898="Kirk",J898="Transfer"),2,IF(AND(I898="Justin",J898="Onboarded"),3,IF(AND(I898="Justin",J898="Referral"),2,IF(AND(I898="Justin",J898="Transfer"),2,IF(AND(I898="Reyna",J898="Onboarded"),3,IF(AND(I898="Reyna",J898="Referral"),2,IF(AND(I898="Reyna",J898="Transfer"),2,0)))))))))</f>
        <v>0</v>
      </c>
    </row>
    <row r="899" spans="9:11" x14ac:dyDescent="0.25">
      <c r="I899" t="str">
        <f t="shared" si="42"/>
        <v>Unknown</v>
      </c>
      <c r="J899" t="str">
        <f t="shared" si="43"/>
        <v>Other</v>
      </c>
      <c r="K899" s="3">
        <f t="shared" si="44"/>
        <v>0</v>
      </c>
    </row>
    <row r="900" spans="9:11" x14ac:dyDescent="0.25">
      <c r="I900" t="str">
        <f t="shared" si="42"/>
        <v>Unknown</v>
      </c>
      <c r="J900" t="str">
        <f t="shared" si="43"/>
        <v>Other</v>
      </c>
      <c r="K900" s="3">
        <f t="shared" si="44"/>
        <v>0</v>
      </c>
    </row>
    <row r="901" spans="9:11" x14ac:dyDescent="0.25">
      <c r="I901" t="str">
        <f t="shared" si="42"/>
        <v>Unknown</v>
      </c>
      <c r="J901" t="str">
        <f t="shared" si="43"/>
        <v>Other</v>
      </c>
      <c r="K901" s="3">
        <f t="shared" si="44"/>
        <v>0</v>
      </c>
    </row>
    <row r="902" spans="9:11" x14ac:dyDescent="0.25">
      <c r="I902" t="str">
        <f t="shared" si="42"/>
        <v>Unknown</v>
      </c>
      <c r="J902" t="str">
        <f t="shared" si="43"/>
        <v>Other</v>
      </c>
      <c r="K902" s="3">
        <f t="shared" si="44"/>
        <v>0</v>
      </c>
    </row>
    <row r="903" spans="9:11" x14ac:dyDescent="0.25">
      <c r="I903" t="str">
        <f t="shared" si="42"/>
        <v>Unknown</v>
      </c>
      <c r="J903" t="str">
        <f t="shared" si="43"/>
        <v>Other</v>
      </c>
      <c r="K903" s="3">
        <f t="shared" si="44"/>
        <v>0</v>
      </c>
    </row>
    <row r="904" spans="9:11" x14ac:dyDescent="0.25">
      <c r="I904" t="str">
        <f t="shared" si="42"/>
        <v>Unknown</v>
      </c>
      <c r="J904" t="str">
        <f t="shared" si="43"/>
        <v>Other</v>
      </c>
      <c r="K904" s="3">
        <f t="shared" si="44"/>
        <v>0</v>
      </c>
    </row>
    <row r="905" spans="9:11" x14ac:dyDescent="0.25">
      <c r="I905" t="str">
        <f t="shared" si="42"/>
        <v>Unknown</v>
      </c>
      <c r="J905" t="str">
        <f t="shared" si="43"/>
        <v>Other</v>
      </c>
      <c r="K905" s="3">
        <f t="shared" si="44"/>
        <v>0</v>
      </c>
    </row>
    <row r="906" spans="9:11" x14ac:dyDescent="0.25">
      <c r="I906" t="str">
        <f t="shared" si="42"/>
        <v>Unknown</v>
      </c>
      <c r="J906" t="str">
        <f t="shared" si="43"/>
        <v>Other</v>
      </c>
      <c r="K906" s="3">
        <f t="shared" si="44"/>
        <v>0</v>
      </c>
    </row>
    <row r="907" spans="9:11" x14ac:dyDescent="0.25">
      <c r="I907" t="str">
        <f t="shared" si="42"/>
        <v>Unknown</v>
      </c>
      <c r="J907" t="str">
        <f t="shared" si="43"/>
        <v>Other</v>
      </c>
      <c r="K907" s="3">
        <f t="shared" si="44"/>
        <v>0</v>
      </c>
    </row>
    <row r="908" spans="9:11" x14ac:dyDescent="0.25">
      <c r="I908" t="str">
        <f t="shared" si="42"/>
        <v>Unknown</v>
      </c>
      <c r="J908" t="str">
        <f t="shared" si="43"/>
        <v>Other</v>
      </c>
      <c r="K908" s="3">
        <f t="shared" si="44"/>
        <v>0</v>
      </c>
    </row>
    <row r="909" spans="9:11" x14ac:dyDescent="0.25">
      <c r="I909" t="str">
        <f t="shared" si="42"/>
        <v>Unknown</v>
      </c>
      <c r="J909" t="str">
        <f t="shared" si="43"/>
        <v>Other</v>
      </c>
      <c r="K909" s="3">
        <f t="shared" si="44"/>
        <v>0</v>
      </c>
    </row>
    <row r="910" spans="9:11" x14ac:dyDescent="0.25">
      <c r="I910" t="str">
        <f t="shared" si="42"/>
        <v>Unknown</v>
      </c>
      <c r="J910" t="str">
        <f t="shared" si="43"/>
        <v>Other</v>
      </c>
      <c r="K910" s="3">
        <f t="shared" si="44"/>
        <v>0</v>
      </c>
    </row>
    <row r="911" spans="9:11" x14ac:dyDescent="0.25">
      <c r="I911" t="str">
        <f t="shared" si="42"/>
        <v>Unknown</v>
      </c>
      <c r="J911" t="str">
        <f t="shared" si="43"/>
        <v>Other</v>
      </c>
      <c r="K911" s="3">
        <f t="shared" si="44"/>
        <v>0</v>
      </c>
    </row>
    <row r="912" spans="9:11" x14ac:dyDescent="0.25">
      <c r="I912" t="str">
        <f t="shared" si="42"/>
        <v>Unknown</v>
      </c>
      <c r="J912" t="str">
        <f t="shared" si="43"/>
        <v>Other</v>
      </c>
      <c r="K912" s="3">
        <f t="shared" si="44"/>
        <v>0</v>
      </c>
    </row>
    <row r="913" spans="9:11" x14ac:dyDescent="0.25">
      <c r="I913" t="str">
        <f t="shared" si="42"/>
        <v>Unknown</v>
      </c>
      <c r="J913" t="str">
        <f t="shared" si="43"/>
        <v>Other</v>
      </c>
      <c r="K913" s="3">
        <f t="shared" si="44"/>
        <v>0</v>
      </c>
    </row>
    <row r="914" spans="9:11" x14ac:dyDescent="0.25">
      <c r="I914" t="str">
        <f t="shared" si="42"/>
        <v>Unknown</v>
      </c>
      <c r="J914" t="str">
        <f t="shared" si="43"/>
        <v>Other</v>
      </c>
      <c r="K914" s="3">
        <f t="shared" si="44"/>
        <v>0</v>
      </c>
    </row>
    <row r="915" spans="9:11" x14ac:dyDescent="0.25">
      <c r="I915" t="str">
        <f t="shared" si="42"/>
        <v>Unknown</v>
      </c>
      <c r="J915" t="str">
        <f t="shared" si="43"/>
        <v>Other</v>
      </c>
      <c r="K915" s="3">
        <f t="shared" si="44"/>
        <v>0</v>
      </c>
    </row>
    <row r="916" spans="9:11" x14ac:dyDescent="0.25">
      <c r="I916" t="str">
        <f t="shared" si="42"/>
        <v>Unknown</v>
      </c>
      <c r="J916" t="str">
        <f t="shared" si="43"/>
        <v>Other</v>
      </c>
      <c r="K916" s="3">
        <f t="shared" si="44"/>
        <v>0</v>
      </c>
    </row>
    <row r="917" spans="9:11" x14ac:dyDescent="0.25">
      <c r="I917" t="str">
        <f t="shared" si="42"/>
        <v>Unknown</v>
      </c>
      <c r="J917" t="str">
        <f t="shared" si="43"/>
        <v>Other</v>
      </c>
      <c r="K917" s="3">
        <f t="shared" si="44"/>
        <v>0</v>
      </c>
    </row>
    <row r="918" spans="9:11" x14ac:dyDescent="0.25">
      <c r="I918" t="str">
        <f t="shared" si="42"/>
        <v>Unknown</v>
      </c>
      <c r="J918" t="str">
        <f t="shared" si="43"/>
        <v>Other</v>
      </c>
      <c r="K918" s="3">
        <f t="shared" si="44"/>
        <v>0</v>
      </c>
    </row>
    <row r="919" spans="9:11" x14ac:dyDescent="0.25">
      <c r="I919" t="str">
        <f t="shared" si="42"/>
        <v>Unknown</v>
      </c>
      <c r="J919" t="str">
        <f t="shared" si="43"/>
        <v>Other</v>
      </c>
      <c r="K919" s="3">
        <f t="shared" si="44"/>
        <v>0</v>
      </c>
    </row>
    <row r="920" spans="9:11" x14ac:dyDescent="0.25">
      <c r="I920" t="str">
        <f t="shared" si="42"/>
        <v>Unknown</v>
      </c>
      <c r="J920" t="str">
        <f t="shared" si="43"/>
        <v>Other</v>
      </c>
      <c r="K920" s="3">
        <f t="shared" si="44"/>
        <v>0</v>
      </c>
    </row>
    <row r="921" spans="9:11" x14ac:dyDescent="0.25">
      <c r="I921" t="str">
        <f t="shared" si="42"/>
        <v>Unknown</v>
      </c>
      <c r="J921" t="str">
        <f t="shared" si="43"/>
        <v>Other</v>
      </c>
      <c r="K921" s="3">
        <f t="shared" si="44"/>
        <v>0</v>
      </c>
    </row>
    <row r="922" spans="9:11" x14ac:dyDescent="0.25">
      <c r="I922" t="str">
        <f t="shared" si="42"/>
        <v>Unknown</v>
      </c>
      <c r="J922" t="str">
        <f t="shared" si="43"/>
        <v>Other</v>
      </c>
      <c r="K922" s="3">
        <f t="shared" si="44"/>
        <v>0</v>
      </c>
    </row>
    <row r="923" spans="9:11" x14ac:dyDescent="0.25">
      <c r="I923" t="str">
        <f t="shared" si="42"/>
        <v>Unknown</v>
      </c>
      <c r="J923" t="str">
        <f t="shared" si="43"/>
        <v>Other</v>
      </c>
      <c r="K923" s="3">
        <f t="shared" si="44"/>
        <v>0</v>
      </c>
    </row>
    <row r="924" spans="9:11" x14ac:dyDescent="0.25">
      <c r="I924" t="str">
        <f t="shared" si="42"/>
        <v>Unknown</v>
      </c>
      <c r="J924" t="str">
        <f t="shared" si="43"/>
        <v>Other</v>
      </c>
      <c r="K924" s="3">
        <f t="shared" si="44"/>
        <v>0</v>
      </c>
    </row>
    <row r="925" spans="9:11" x14ac:dyDescent="0.25">
      <c r="I925" t="str">
        <f t="shared" si="42"/>
        <v>Unknown</v>
      </c>
      <c r="J925" t="str">
        <f t="shared" si="43"/>
        <v>Other</v>
      </c>
      <c r="K925" s="3">
        <f t="shared" si="44"/>
        <v>0</v>
      </c>
    </row>
    <row r="926" spans="9:11" x14ac:dyDescent="0.25">
      <c r="I926" t="str">
        <f t="shared" si="42"/>
        <v>Unknown</v>
      </c>
      <c r="J926" t="str">
        <f t="shared" si="43"/>
        <v>Other</v>
      </c>
      <c r="K926" s="3">
        <f t="shared" si="44"/>
        <v>0</v>
      </c>
    </row>
    <row r="927" spans="9:11" x14ac:dyDescent="0.25">
      <c r="I927" t="str">
        <f t="shared" si="42"/>
        <v>Unknown</v>
      </c>
      <c r="J927" t="str">
        <f t="shared" si="43"/>
        <v>Other</v>
      </c>
      <c r="K927" s="3">
        <f t="shared" si="44"/>
        <v>0</v>
      </c>
    </row>
    <row r="928" spans="9:11" x14ac:dyDescent="0.25">
      <c r="I928" t="str">
        <f t="shared" si="42"/>
        <v>Unknown</v>
      </c>
      <c r="J928" t="str">
        <f t="shared" si="43"/>
        <v>Other</v>
      </c>
      <c r="K928" s="3">
        <f t="shared" si="44"/>
        <v>0</v>
      </c>
    </row>
    <row r="929" spans="9:11" x14ac:dyDescent="0.25">
      <c r="I929" t="str">
        <f t="shared" si="42"/>
        <v>Unknown</v>
      </c>
      <c r="J929" t="str">
        <f t="shared" si="43"/>
        <v>Other</v>
      </c>
      <c r="K929" s="3">
        <f t="shared" si="44"/>
        <v>0</v>
      </c>
    </row>
    <row r="930" spans="9:11" x14ac:dyDescent="0.25">
      <c r="I930" t="str">
        <f t="shared" si="42"/>
        <v>Unknown</v>
      </c>
      <c r="J930" t="str">
        <f t="shared" si="43"/>
        <v>Other</v>
      </c>
      <c r="K930" s="3">
        <f t="shared" si="44"/>
        <v>0</v>
      </c>
    </row>
    <row r="931" spans="9:11" x14ac:dyDescent="0.25">
      <c r="I931" t="str">
        <f t="shared" si="42"/>
        <v>Unknown</v>
      </c>
      <c r="J931" t="str">
        <f t="shared" si="43"/>
        <v>Other</v>
      </c>
      <c r="K931" s="3">
        <f t="shared" si="44"/>
        <v>0</v>
      </c>
    </row>
    <row r="932" spans="9:11" x14ac:dyDescent="0.25">
      <c r="I932" t="str">
        <f t="shared" si="42"/>
        <v>Unknown</v>
      </c>
      <c r="J932" t="str">
        <f t="shared" si="43"/>
        <v>Other</v>
      </c>
      <c r="K932" s="3">
        <f t="shared" si="44"/>
        <v>0</v>
      </c>
    </row>
    <row r="933" spans="9:11" x14ac:dyDescent="0.25">
      <c r="I933" t="str">
        <f t="shared" si="42"/>
        <v>Unknown</v>
      </c>
      <c r="J933" t="str">
        <f t="shared" si="43"/>
        <v>Other</v>
      </c>
      <c r="K933" s="3">
        <f t="shared" si="44"/>
        <v>0</v>
      </c>
    </row>
    <row r="934" spans="9:11" x14ac:dyDescent="0.25">
      <c r="I934" t="str">
        <f t="shared" si="42"/>
        <v>Unknown</v>
      </c>
      <c r="J934" t="str">
        <f t="shared" si="43"/>
        <v>Other</v>
      </c>
      <c r="K934" s="3">
        <f t="shared" si="44"/>
        <v>0</v>
      </c>
    </row>
    <row r="935" spans="9:11" x14ac:dyDescent="0.25">
      <c r="I935" t="str">
        <f t="shared" si="42"/>
        <v>Unknown</v>
      </c>
      <c r="J935" t="str">
        <f t="shared" si="43"/>
        <v>Other</v>
      </c>
      <c r="K935" s="3">
        <f t="shared" si="44"/>
        <v>0</v>
      </c>
    </row>
    <row r="936" spans="9:11" x14ac:dyDescent="0.25">
      <c r="I936" t="str">
        <f t="shared" si="42"/>
        <v>Unknown</v>
      </c>
      <c r="J936" t="str">
        <f t="shared" si="43"/>
        <v>Other</v>
      </c>
      <c r="K936" s="3">
        <f t="shared" si="44"/>
        <v>0</v>
      </c>
    </row>
    <row r="937" spans="9:11" x14ac:dyDescent="0.25">
      <c r="I937" t="str">
        <f t="shared" si="42"/>
        <v>Unknown</v>
      </c>
      <c r="J937" t="str">
        <f t="shared" si="43"/>
        <v>Other</v>
      </c>
      <c r="K937" s="3">
        <f t="shared" si="44"/>
        <v>0</v>
      </c>
    </row>
    <row r="938" spans="9:11" x14ac:dyDescent="0.25">
      <c r="I938" t="str">
        <f t="shared" si="42"/>
        <v>Unknown</v>
      </c>
      <c r="J938" t="str">
        <f t="shared" si="43"/>
        <v>Other</v>
      </c>
      <c r="K938" s="3">
        <f t="shared" si="44"/>
        <v>0</v>
      </c>
    </row>
    <row r="939" spans="9:11" x14ac:dyDescent="0.25">
      <c r="I939" t="str">
        <f t="shared" si="42"/>
        <v>Unknown</v>
      </c>
      <c r="J939" t="str">
        <f t="shared" si="43"/>
        <v>Other</v>
      </c>
      <c r="K939" s="3">
        <f t="shared" si="44"/>
        <v>0</v>
      </c>
    </row>
    <row r="940" spans="9:11" x14ac:dyDescent="0.25">
      <c r="I940" t="str">
        <f t="shared" si="42"/>
        <v>Unknown</v>
      </c>
      <c r="J940" t="str">
        <f t="shared" si="43"/>
        <v>Other</v>
      </c>
      <c r="K940" s="3">
        <f t="shared" si="44"/>
        <v>0</v>
      </c>
    </row>
    <row r="941" spans="9:11" x14ac:dyDescent="0.25">
      <c r="I941" t="str">
        <f t="shared" si="42"/>
        <v>Unknown</v>
      </c>
      <c r="J941" t="str">
        <f t="shared" si="43"/>
        <v>Other</v>
      </c>
      <c r="K941" s="3">
        <f t="shared" si="44"/>
        <v>0</v>
      </c>
    </row>
    <row r="942" spans="9:11" x14ac:dyDescent="0.25">
      <c r="I942" t="str">
        <f t="shared" si="42"/>
        <v>Unknown</v>
      </c>
      <c r="J942" t="str">
        <f t="shared" si="43"/>
        <v>Other</v>
      </c>
      <c r="K942" s="3">
        <f t="shared" si="44"/>
        <v>0</v>
      </c>
    </row>
    <row r="943" spans="9:11" x14ac:dyDescent="0.25">
      <c r="I943" t="str">
        <f t="shared" si="42"/>
        <v>Unknown</v>
      </c>
      <c r="J943" t="str">
        <f t="shared" si="43"/>
        <v>Other</v>
      </c>
      <c r="K943" s="3">
        <f t="shared" si="44"/>
        <v>0</v>
      </c>
    </row>
    <row r="944" spans="9:11" x14ac:dyDescent="0.25">
      <c r="I944" t="str">
        <f t="shared" si="42"/>
        <v>Unknown</v>
      </c>
      <c r="J944" t="str">
        <f t="shared" si="43"/>
        <v>Other</v>
      </c>
      <c r="K944" s="3">
        <f t="shared" si="44"/>
        <v>0</v>
      </c>
    </row>
    <row r="945" spans="9:11" x14ac:dyDescent="0.25">
      <c r="I945" t="str">
        <f t="shared" si="42"/>
        <v>Unknown</v>
      </c>
      <c r="J945" t="str">
        <f t="shared" si="43"/>
        <v>Other</v>
      </c>
      <c r="K945" s="3">
        <f t="shared" si="44"/>
        <v>0</v>
      </c>
    </row>
    <row r="946" spans="9:11" x14ac:dyDescent="0.25">
      <c r="I946" t="str">
        <f t="shared" si="42"/>
        <v>Unknown</v>
      </c>
      <c r="J946" t="str">
        <f t="shared" si="43"/>
        <v>Other</v>
      </c>
      <c r="K946" s="3">
        <f t="shared" si="44"/>
        <v>0</v>
      </c>
    </row>
    <row r="947" spans="9:11" x14ac:dyDescent="0.25">
      <c r="I947" t="str">
        <f t="shared" si="42"/>
        <v>Unknown</v>
      </c>
      <c r="J947" t="str">
        <f t="shared" si="43"/>
        <v>Other</v>
      </c>
      <c r="K947" s="3">
        <f t="shared" si="44"/>
        <v>0</v>
      </c>
    </row>
    <row r="948" spans="9:11" x14ac:dyDescent="0.25">
      <c r="I948" t="str">
        <f t="shared" si="42"/>
        <v>Unknown</v>
      </c>
      <c r="J948" t="str">
        <f t="shared" si="43"/>
        <v>Other</v>
      </c>
      <c r="K948" s="3">
        <f t="shared" si="44"/>
        <v>0</v>
      </c>
    </row>
    <row r="949" spans="9:11" x14ac:dyDescent="0.25">
      <c r="I949" t="str">
        <f t="shared" si="42"/>
        <v>Unknown</v>
      </c>
      <c r="J949" t="str">
        <f t="shared" si="43"/>
        <v>Other</v>
      </c>
      <c r="K949" s="3">
        <f t="shared" si="44"/>
        <v>0</v>
      </c>
    </row>
    <row r="950" spans="9:11" x14ac:dyDescent="0.25">
      <c r="I950" t="str">
        <f t="shared" si="42"/>
        <v>Unknown</v>
      </c>
      <c r="J950" t="str">
        <f t="shared" si="43"/>
        <v>Other</v>
      </c>
      <c r="K950" s="3">
        <f t="shared" si="44"/>
        <v>0</v>
      </c>
    </row>
    <row r="951" spans="9:11" x14ac:dyDescent="0.25">
      <c r="I951" t="str">
        <f t="shared" si="42"/>
        <v>Unknown</v>
      </c>
      <c r="J951" t="str">
        <f t="shared" si="43"/>
        <v>Other</v>
      </c>
      <c r="K951" s="3">
        <f t="shared" si="44"/>
        <v>0</v>
      </c>
    </row>
    <row r="952" spans="9:11" x14ac:dyDescent="0.25">
      <c r="I952" t="str">
        <f t="shared" si="42"/>
        <v>Unknown</v>
      </c>
      <c r="J952" t="str">
        <f t="shared" si="43"/>
        <v>Other</v>
      </c>
      <c r="K952" s="3">
        <f t="shared" si="44"/>
        <v>0</v>
      </c>
    </row>
    <row r="953" spans="9:11" x14ac:dyDescent="0.25">
      <c r="I953" t="str">
        <f t="shared" si="42"/>
        <v>Unknown</v>
      </c>
      <c r="J953" t="str">
        <f t="shared" si="43"/>
        <v>Other</v>
      </c>
      <c r="K953" s="3">
        <f t="shared" si="44"/>
        <v>0</v>
      </c>
    </row>
    <row r="954" spans="9:11" x14ac:dyDescent="0.25">
      <c r="I954" t="str">
        <f t="shared" si="42"/>
        <v>Unknown</v>
      </c>
      <c r="J954" t="str">
        <f t="shared" si="43"/>
        <v>Other</v>
      </c>
      <c r="K954" s="3">
        <f t="shared" si="44"/>
        <v>0</v>
      </c>
    </row>
    <row r="955" spans="9:11" x14ac:dyDescent="0.25">
      <c r="I955" t="str">
        <f t="shared" si="42"/>
        <v>Unknown</v>
      </c>
      <c r="J955" t="str">
        <f t="shared" si="43"/>
        <v>Other</v>
      </c>
      <c r="K955" s="3">
        <f t="shared" si="44"/>
        <v>0</v>
      </c>
    </row>
    <row r="956" spans="9:11" x14ac:dyDescent="0.25">
      <c r="I956" t="str">
        <f t="shared" si="42"/>
        <v>Unknown</v>
      </c>
      <c r="J956" t="str">
        <f t="shared" si="43"/>
        <v>Other</v>
      </c>
      <c r="K956" s="3">
        <f t="shared" si="44"/>
        <v>0</v>
      </c>
    </row>
    <row r="957" spans="9:11" x14ac:dyDescent="0.25">
      <c r="I957" t="str">
        <f t="shared" si="42"/>
        <v>Unknown</v>
      </c>
      <c r="J957" t="str">
        <f t="shared" si="43"/>
        <v>Other</v>
      </c>
      <c r="K957" s="3">
        <f t="shared" si="44"/>
        <v>0</v>
      </c>
    </row>
    <row r="958" spans="9:11" x14ac:dyDescent="0.25">
      <c r="I958" t="str">
        <f t="shared" si="42"/>
        <v>Unknown</v>
      </c>
      <c r="J958" t="str">
        <f t="shared" si="43"/>
        <v>Other</v>
      </c>
      <c r="K958" s="3">
        <f t="shared" si="44"/>
        <v>0</v>
      </c>
    </row>
    <row r="959" spans="9:11" x14ac:dyDescent="0.25">
      <c r="I959" t="str">
        <f t="shared" si="42"/>
        <v>Unknown</v>
      </c>
      <c r="J959" t="str">
        <f t="shared" si="43"/>
        <v>Other</v>
      </c>
      <c r="K959" s="3">
        <f t="shared" si="44"/>
        <v>0</v>
      </c>
    </row>
    <row r="960" spans="9:11" x14ac:dyDescent="0.25">
      <c r="I960" t="str">
        <f t="shared" si="42"/>
        <v>Unknown</v>
      </c>
      <c r="J960" t="str">
        <f t="shared" si="43"/>
        <v>Other</v>
      </c>
      <c r="K960" s="3">
        <f t="shared" si="44"/>
        <v>0</v>
      </c>
    </row>
    <row r="961" spans="9:11" x14ac:dyDescent="0.25">
      <c r="I961" t="str">
        <f t="shared" si="42"/>
        <v>Unknown</v>
      </c>
      <c r="J961" t="str">
        <f t="shared" si="43"/>
        <v>Other</v>
      </c>
      <c r="K961" s="3">
        <f t="shared" si="44"/>
        <v>0</v>
      </c>
    </row>
    <row r="962" spans="9:11" x14ac:dyDescent="0.25">
      <c r="I962" t="str">
        <f t="shared" ref="I962:I1001" si="45">IF(ISNUMBER(SEARCH("kirk",F962)),"Kirk",IF(ISNUMBER(SEARCH("justin",F962)),"Justin",IF(ISNUMBER(SEARCH("reyna",F962)),"Reyna","Unknown")))</f>
        <v>Unknown</v>
      </c>
      <c r="J962" t="str">
        <f t="shared" ref="J962:J1001" si="46">IF(ISNUMBER(SEARCH("onboard",F962)),"Onboarded",IF(ISNUMBER(SEARCH("referr",F962)),"Referral",IF(ISNUMBER(SEARCH("transfer",F962)),"Transfer","Other")))</f>
        <v>Other</v>
      </c>
      <c r="K962" s="3">
        <f t="shared" ref="K962:K1025" si="47">IF(AND(I962="Kirk",J962="Onboarded"),3,IF(AND(I962="Kirk",J962="Referral"),2,IF(AND(I962="Kirk",J962="Transfer"),2,IF(AND(I962="Justin",J962="Onboarded"),3,IF(AND(I962="Justin",J962="Referral"),2,IF(AND(I962="Justin",J962="Transfer"),2,IF(AND(I962="Reyna",J962="Onboarded"),3,IF(AND(I962="Reyna",J962="Referral"),2,IF(AND(I962="Reyna",J962="Transfer"),2,0)))))))))</f>
        <v>0</v>
      </c>
    </row>
    <row r="963" spans="9:11" x14ac:dyDescent="0.25">
      <c r="I963" t="str">
        <f t="shared" si="45"/>
        <v>Unknown</v>
      </c>
      <c r="J963" t="str">
        <f t="shared" si="46"/>
        <v>Other</v>
      </c>
      <c r="K963" s="3">
        <f t="shared" si="47"/>
        <v>0</v>
      </c>
    </row>
    <row r="964" spans="9:11" x14ac:dyDescent="0.25">
      <c r="I964" t="str">
        <f t="shared" si="45"/>
        <v>Unknown</v>
      </c>
      <c r="J964" t="str">
        <f t="shared" si="46"/>
        <v>Other</v>
      </c>
      <c r="K964" s="3">
        <f t="shared" si="47"/>
        <v>0</v>
      </c>
    </row>
    <row r="965" spans="9:11" x14ac:dyDescent="0.25">
      <c r="I965" t="str">
        <f t="shared" si="45"/>
        <v>Unknown</v>
      </c>
      <c r="J965" t="str">
        <f t="shared" si="46"/>
        <v>Other</v>
      </c>
      <c r="K965" s="3">
        <f t="shared" si="47"/>
        <v>0</v>
      </c>
    </row>
    <row r="966" spans="9:11" x14ac:dyDescent="0.25">
      <c r="I966" t="str">
        <f t="shared" si="45"/>
        <v>Unknown</v>
      </c>
      <c r="J966" t="str">
        <f t="shared" si="46"/>
        <v>Other</v>
      </c>
      <c r="K966" s="3">
        <f t="shared" si="47"/>
        <v>0</v>
      </c>
    </row>
    <row r="967" spans="9:11" x14ac:dyDescent="0.25">
      <c r="I967" t="str">
        <f t="shared" si="45"/>
        <v>Unknown</v>
      </c>
      <c r="J967" t="str">
        <f t="shared" si="46"/>
        <v>Other</v>
      </c>
      <c r="K967" s="3">
        <f t="shared" si="47"/>
        <v>0</v>
      </c>
    </row>
    <row r="968" spans="9:11" x14ac:dyDescent="0.25">
      <c r="I968" t="str">
        <f t="shared" si="45"/>
        <v>Unknown</v>
      </c>
      <c r="J968" t="str">
        <f t="shared" si="46"/>
        <v>Other</v>
      </c>
      <c r="K968" s="3">
        <f t="shared" si="47"/>
        <v>0</v>
      </c>
    </row>
    <row r="969" spans="9:11" x14ac:dyDescent="0.25">
      <c r="I969" t="str">
        <f t="shared" si="45"/>
        <v>Unknown</v>
      </c>
      <c r="J969" t="str">
        <f t="shared" si="46"/>
        <v>Other</v>
      </c>
      <c r="K969" s="3">
        <f t="shared" si="47"/>
        <v>0</v>
      </c>
    </row>
    <row r="970" spans="9:11" x14ac:dyDescent="0.25">
      <c r="I970" t="str">
        <f t="shared" si="45"/>
        <v>Unknown</v>
      </c>
      <c r="J970" t="str">
        <f t="shared" si="46"/>
        <v>Other</v>
      </c>
      <c r="K970" s="3">
        <f t="shared" si="47"/>
        <v>0</v>
      </c>
    </row>
    <row r="971" spans="9:11" x14ac:dyDescent="0.25">
      <c r="I971" t="str">
        <f t="shared" si="45"/>
        <v>Unknown</v>
      </c>
      <c r="J971" t="str">
        <f t="shared" si="46"/>
        <v>Other</v>
      </c>
      <c r="K971" s="3">
        <f t="shared" si="47"/>
        <v>0</v>
      </c>
    </row>
    <row r="972" spans="9:11" x14ac:dyDescent="0.25">
      <c r="I972" t="str">
        <f t="shared" si="45"/>
        <v>Unknown</v>
      </c>
      <c r="J972" t="str">
        <f t="shared" si="46"/>
        <v>Other</v>
      </c>
      <c r="K972" s="3">
        <f t="shared" si="47"/>
        <v>0</v>
      </c>
    </row>
    <row r="973" spans="9:11" x14ac:dyDescent="0.25">
      <c r="I973" t="str">
        <f t="shared" si="45"/>
        <v>Unknown</v>
      </c>
      <c r="J973" t="str">
        <f t="shared" si="46"/>
        <v>Other</v>
      </c>
      <c r="K973" s="3">
        <f t="shared" si="47"/>
        <v>0</v>
      </c>
    </row>
    <row r="974" spans="9:11" x14ac:dyDescent="0.25">
      <c r="I974" t="str">
        <f t="shared" si="45"/>
        <v>Unknown</v>
      </c>
      <c r="J974" t="str">
        <f t="shared" si="46"/>
        <v>Other</v>
      </c>
      <c r="K974" s="3">
        <f t="shared" si="47"/>
        <v>0</v>
      </c>
    </row>
    <row r="975" spans="9:11" x14ac:dyDescent="0.25">
      <c r="I975" t="str">
        <f t="shared" si="45"/>
        <v>Unknown</v>
      </c>
      <c r="J975" t="str">
        <f t="shared" si="46"/>
        <v>Other</v>
      </c>
      <c r="K975" s="3">
        <f t="shared" si="47"/>
        <v>0</v>
      </c>
    </row>
    <row r="976" spans="9:11" x14ac:dyDescent="0.25">
      <c r="I976" t="str">
        <f t="shared" si="45"/>
        <v>Unknown</v>
      </c>
      <c r="J976" t="str">
        <f t="shared" si="46"/>
        <v>Other</v>
      </c>
      <c r="K976" s="3">
        <f t="shared" si="47"/>
        <v>0</v>
      </c>
    </row>
    <row r="977" spans="9:11" x14ac:dyDescent="0.25">
      <c r="I977" t="str">
        <f t="shared" si="45"/>
        <v>Unknown</v>
      </c>
      <c r="J977" t="str">
        <f t="shared" si="46"/>
        <v>Other</v>
      </c>
      <c r="K977" s="3">
        <f t="shared" si="47"/>
        <v>0</v>
      </c>
    </row>
    <row r="978" spans="9:11" x14ac:dyDescent="0.25">
      <c r="I978" t="str">
        <f t="shared" si="45"/>
        <v>Unknown</v>
      </c>
      <c r="J978" t="str">
        <f t="shared" si="46"/>
        <v>Other</v>
      </c>
      <c r="K978" s="3">
        <f t="shared" si="47"/>
        <v>0</v>
      </c>
    </row>
    <row r="979" spans="9:11" x14ac:dyDescent="0.25">
      <c r="I979" t="str">
        <f t="shared" si="45"/>
        <v>Unknown</v>
      </c>
      <c r="J979" t="str">
        <f t="shared" si="46"/>
        <v>Other</v>
      </c>
      <c r="K979" s="3">
        <f t="shared" si="47"/>
        <v>0</v>
      </c>
    </row>
    <row r="980" spans="9:11" x14ac:dyDescent="0.25">
      <c r="I980" t="str">
        <f t="shared" si="45"/>
        <v>Unknown</v>
      </c>
      <c r="J980" t="str">
        <f t="shared" si="46"/>
        <v>Other</v>
      </c>
      <c r="K980" s="3">
        <f t="shared" si="47"/>
        <v>0</v>
      </c>
    </row>
    <row r="981" spans="9:11" x14ac:dyDescent="0.25">
      <c r="I981" t="str">
        <f t="shared" si="45"/>
        <v>Unknown</v>
      </c>
      <c r="J981" t="str">
        <f t="shared" si="46"/>
        <v>Other</v>
      </c>
      <c r="K981" s="3">
        <f t="shared" si="47"/>
        <v>0</v>
      </c>
    </row>
    <row r="982" spans="9:11" x14ac:dyDescent="0.25">
      <c r="I982" t="str">
        <f t="shared" si="45"/>
        <v>Unknown</v>
      </c>
      <c r="J982" t="str">
        <f t="shared" si="46"/>
        <v>Other</v>
      </c>
      <c r="K982" s="3">
        <f t="shared" si="47"/>
        <v>0</v>
      </c>
    </row>
    <row r="983" spans="9:11" x14ac:dyDescent="0.25">
      <c r="I983" t="str">
        <f t="shared" si="45"/>
        <v>Unknown</v>
      </c>
      <c r="J983" t="str">
        <f t="shared" si="46"/>
        <v>Other</v>
      </c>
      <c r="K983" s="3">
        <f t="shared" si="47"/>
        <v>0</v>
      </c>
    </row>
    <row r="984" spans="9:11" x14ac:dyDescent="0.25">
      <c r="I984" t="str">
        <f t="shared" si="45"/>
        <v>Unknown</v>
      </c>
      <c r="J984" t="str">
        <f t="shared" si="46"/>
        <v>Other</v>
      </c>
      <c r="K984" s="3">
        <f t="shared" si="47"/>
        <v>0</v>
      </c>
    </row>
    <row r="985" spans="9:11" x14ac:dyDescent="0.25">
      <c r="I985" t="str">
        <f t="shared" si="45"/>
        <v>Unknown</v>
      </c>
      <c r="J985" t="str">
        <f t="shared" si="46"/>
        <v>Other</v>
      </c>
      <c r="K985" s="3">
        <f t="shared" si="47"/>
        <v>0</v>
      </c>
    </row>
    <row r="986" spans="9:11" x14ac:dyDescent="0.25">
      <c r="I986" t="str">
        <f t="shared" si="45"/>
        <v>Unknown</v>
      </c>
      <c r="J986" t="str">
        <f t="shared" si="46"/>
        <v>Other</v>
      </c>
      <c r="K986" s="3">
        <f t="shared" si="47"/>
        <v>0</v>
      </c>
    </row>
    <row r="987" spans="9:11" x14ac:dyDescent="0.25">
      <c r="I987" t="str">
        <f t="shared" si="45"/>
        <v>Unknown</v>
      </c>
      <c r="J987" t="str">
        <f t="shared" si="46"/>
        <v>Other</v>
      </c>
      <c r="K987" s="3">
        <f t="shared" si="47"/>
        <v>0</v>
      </c>
    </row>
    <row r="988" spans="9:11" x14ac:dyDescent="0.25">
      <c r="I988" t="str">
        <f t="shared" si="45"/>
        <v>Unknown</v>
      </c>
      <c r="J988" t="str">
        <f t="shared" si="46"/>
        <v>Other</v>
      </c>
      <c r="K988" s="3">
        <f t="shared" si="47"/>
        <v>0</v>
      </c>
    </row>
    <row r="989" spans="9:11" x14ac:dyDescent="0.25">
      <c r="I989" t="str">
        <f t="shared" si="45"/>
        <v>Unknown</v>
      </c>
      <c r="J989" t="str">
        <f t="shared" si="46"/>
        <v>Other</v>
      </c>
      <c r="K989" s="3">
        <f t="shared" si="47"/>
        <v>0</v>
      </c>
    </row>
    <row r="990" spans="9:11" x14ac:dyDescent="0.25">
      <c r="I990" t="str">
        <f t="shared" si="45"/>
        <v>Unknown</v>
      </c>
      <c r="J990" t="str">
        <f t="shared" si="46"/>
        <v>Other</v>
      </c>
      <c r="K990" s="3">
        <f t="shared" si="47"/>
        <v>0</v>
      </c>
    </row>
    <row r="991" spans="9:11" x14ac:dyDescent="0.25">
      <c r="I991" t="str">
        <f t="shared" si="45"/>
        <v>Unknown</v>
      </c>
      <c r="J991" t="str">
        <f t="shared" si="46"/>
        <v>Other</v>
      </c>
      <c r="K991" s="3">
        <f t="shared" si="47"/>
        <v>0</v>
      </c>
    </row>
    <row r="992" spans="9:11" x14ac:dyDescent="0.25">
      <c r="I992" t="str">
        <f t="shared" si="45"/>
        <v>Unknown</v>
      </c>
      <c r="J992" t="str">
        <f t="shared" si="46"/>
        <v>Other</v>
      </c>
      <c r="K992" s="3">
        <f t="shared" si="47"/>
        <v>0</v>
      </c>
    </row>
    <row r="993" spans="9:11" x14ac:dyDescent="0.25">
      <c r="I993" t="str">
        <f t="shared" si="45"/>
        <v>Unknown</v>
      </c>
      <c r="J993" t="str">
        <f t="shared" si="46"/>
        <v>Other</v>
      </c>
      <c r="K993" s="3">
        <f t="shared" si="47"/>
        <v>0</v>
      </c>
    </row>
    <row r="994" spans="9:11" x14ac:dyDescent="0.25">
      <c r="I994" t="str">
        <f t="shared" si="45"/>
        <v>Unknown</v>
      </c>
      <c r="J994" t="str">
        <f t="shared" si="46"/>
        <v>Other</v>
      </c>
      <c r="K994" s="3">
        <f t="shared" si="47"/>
        <v>0</v>
      </c>
    </row>
    <row r="995" spans="9:11" x14ac:dyDescent="0.25">
      <c r="I995" t="str">
        <f t="shared" si="45"/>
        <v>Unknown</v>
      </c>
      <c r="J995" t="str">
        <f t="shared" si="46"/>
        <v>Other</v>
      </c>
      <c r="K995" s="3">
        <f t="shared" si="47"/>
        <v>0</v>
      </c>
    </row>
    <row r="996" spans="9:11" x14ac:dyDescent="0.25">
      <c r="I996" t="str">
        <f t="shared" si="45"/>
        <v>Unknown</v>
      </c>
      <c r="J996" t="str">
        <f t="shared" si="46"/>
        <v>Other</v>
      </c>
      <c r="K996" s="3">
        <f t="shared" si="47"/>
        <v>0</v>
      </c>
    </row>
    <row r="997" spans="9:11" x14ac:dyDescent="0.25">
      <c r="I997" t="str">
        <f t="shared" si="45"/>
        <v>Unknown</v>
      </c>
      <c r="J997" t="str">
        <f t="shared" si="46"/>
        <v>Other</v>
      </c>
      <c r="K997" s="3">
        <f t="shared" si="47"/>
        <v>0</v>
      </c>
    </row>
    <row r="998" spans="9:11" x14ac:dyDescent="0.25">
      <c r="I998" t="str">
        <f t="shared" si="45"/>
        <v>Unknown</v>
      </c>
      <c r="J998" t="str">
        <f t="shared" si="46"/>
        <v>Other</v>
      </c>
      <c r="K998" s="3">
        <f t="shared" si="47"/>
        <v>0</v>
      </c>
    </row>
    <row r="999" spans="9:11" x14ac:dyDescent="0.25">
      <c r="I999" t="str">
        <f t="shared" si="45"/>
        <v>Unknown</v>
      </c>
      <c r="J999" t="str">
        <f t="shared" si="46"/>
        <v>Other</v>
      </c>
      <c r="K999" s="3">
        <f t="shared" si="47"/>
        <v>0</v>
      </c>
    </row>
    <row r="1000" spans="9:11" x14ac:dyDescent="0.25">
      <c r="I1000" t="str">
        <f t="shared" si="45"/>
        <v>Unknown</v>
      </c>
      <c r="J1000" t="str">
        <f t="shared" si="46"/>
        <v>Other</v>
      </c>
      <c r="K1000" s="3">
        <f t="shared" si="47"/>
        <v>0</v>
      </c>
    </row>
    <row r="1001" spans="9:11" x14ac:dyDescent="0.25">
      <c r="I1001" t="str">
        <f t="shared" si="45"/>
        <v>Unknown</v>
      </c>
      <c r="J1001" t="str">
        <f t="shared" si="46"/>
        <v>Other</v>
      </c>
      <c r="K1001" s="3">
        <f t="shared" si="47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9"/>
  <sheetViews>
    <sheetView workbookViewId="0">
      <pane ySplit="9" topLeftCell="A10" activePane="bottomLeft" state="frozen"/>
      <selection pane="bottomLeft" activeCell="D6" sqref="D6"/>
    </sheetView>
  </sheetViews>
  <sheetFormatPr defaultRowHeight="15" x14ac:dyDescent="0.25"/>
  <cols>
    <col min="1" max="2" width="16" customWidth="1"/>
    <col min="3" max="4" width="15" customWidth="1"/>
    <col min="5" max="5" width="18" customWidth="1"/>
    <col min="6" max="7" width="17" customWidth="1"/>
    <col min="8" max="8" width="16" customWidth="1"/>
    <col min="9" max="10" width="15" customWidth="1"/>
    <col min="11" max="11" width="14" customWidth="1"/>
  </cols>
  <sheetData>
    <row r="1" spans="1:11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11" x14ac:dyDescent="0.25">
      <c r="A2" t="s">
        <v>16</v>
      </c>
      <c r="B2" s="3">
        <f>SUMIFS(Data!K:K,Data!I:I,"Kirk",Data!J:J,"Onboarded")</f>
        <v>33</v>
      </c>
      <c r="C2" s="3">
        <f>SUMIFS(Data!K:K,Data!I:I,"Kirk",Data!J:J,"Referral")</f>
        <v>0</v>
      </c>
      <c r="D2" s="3">
        <f>SUMIFS(Data!K:K,Data!I:I,"Kirk",Data!J:J,"Transfer")</f>
        <v>6</v>
      </c>
      <c r="E2" s="3">
        <f>SUM(B2:D2)</f>
        <v>39</v>
      </c>
    </row>
    <row r="3" spans="1:11" x14ac:dyDescent="0.25">
      <c r="A3" t="s">
        <v>17</v>
      </c>
      <c r="B3" s="3">
        <f>SUMIFS(Data!K:K,Data!I:I,"Justin",Data!J:J,"Onboarded")</f>
        <v>21</v>
      </c>
      <c r="C3" s="3">
        <f>SUMIFS(Data!K:K,Data!I:I,"Justin",Data!J:J,"Referral")</f>
        <v>2</v>
      </c>
      <c r="D3" s="3">
        <f>SUMIFS(Data!K:K,Data!I:I,"Justin",Data!J:J,"Transfer")</f>
        <v>0</v>
      </c>
      <c r="E3" s="3">
        <f>SUM(B3:D3)</f>
        <v>23</v>
      </c>
    </row>
    <row r="4" spans="1:11" x14ac:dyDescent="0.25">
      <c r="A4" t="s">
        <v>18</v>
      </c>
      <c r="B4" s="3">
        <f>SUMIFS(Data!K:K,Data!I:I,"Reyna",Data!J:J,"Onboarded")</f>
        <v>18</v>
      </c>
      <c r="C4" s="3">
        <f>SUMIFS(Data!K:K,Data!I:I,"Reyna",Data!J:J,"Referral")</f>
        <v>2</v>
      </c>
      <c r="D4" s="3">
        <f>SUMIFS(Data!K:K,Data!I:I,"Reyna",Data!J:J,"Transfer")</f>
        <v>4</v>
      </c>
      <c r="E4" s="3">
        <f>SUM(B4:D4)</f>
        <v>24</v>
      </c>
    </row>
    <row r="7" spans="1:11" x14ac:dyDescent="0.25">
      <c r="A7" s="1" t="s">
        <v>19</v>
      </c>
    </row>
    <row r="9" spans="1:11" ht="30" x14ac:dyDescent="0.25">
      <c r="A9" s="2" t="s">
        <v>2</v>
      </c>
      <c r="B9" s="2" t="s">
        <v>20</v>
      </c>
      <c r="C9" s="2" t="s">
        <v>21</v>
      </c>
      <c r="D9" s="2" t="s">
        <v>22</v>
      </c>
      <c r="E9" s="2" t="s">
        <v>23</v>
      </c>
      <c r="F9" s="2" t="s">
        <v>24</v>
      </c>
      <c r="G9" s="2" t="s">
        <v>25</v>
      </c>
      <c r="H9" s="2" t="s">
        <v>26</v>
      </c>
      <c r="I9" s="2" t="s">
        <v>27</v>
      </c>
      <c r="J9" s="2" t="s">
        <v>28</v>
      </c>
      <c r="K9" s="2" t="s">
        <v>29</v>
      </c>
    </row>
    <row r="10" spans="1:11" x14ac:dyDescent="0.25">
      <c r="A10" s="4">
        <v>46020</v>
      </c>
      <c r="B10">
        <f>IF(A10="","",COUNTIFS(Data!$I:$I,"Kirk",Data!$J:$J,"Onboarded",Data!$C:$C,A10))</f>
        <v>3</v>
      </c>
      <c r="C10">
        <f>IF(A10="","",COUNTIFS(Data!$I:$I,"Kirk",Data!$J:$J,"Referral",Data!$C:$C,A10))</f>
        <v>0</v>
      </c>
      <c r="D10">
        <f>IF(A10="","",COUNTIFS(Data!$I:$I,"Kirk",Data!$J:$J,"Transfer",Data!$C:$C,A10))</f>
        <v>0</v>
      </c>
      <c r="E10">
        <f>IF(A10="","",COUNTIFS(Data!$I:$I,"Justin",Data!$J:$J,"Onboarded",Data!$C:$C,A10))</f>
        <v>2</v>
      </c>
      <c r="F10">
        <f>IF(A10="","",COUNTIFS(Data!$I:$I,"Justin",Data!$J:$J,"Referral",Data!$C:$C,A10))</f>
        <v>0</v>
      </c>
      <c r="G10">
        <f>IF(A10="","",COUNTIFS(Data!$I:$I,"Justin",Data!$J:$J,"Transfer",Data!$C:$C,A10))</f>
        <v>0</v>
      </c>
      <c r="H10">
        <f>IF(A10="","",COUNTIFS(Data!$I:$I,"Reyna",Data!$J:$J,"Onboarded",Data!$C:$C,A10))</f>
        <v>2</v>
      </c>
      <c r="I10">
        <f>IF(A10="","",COUNTIFS(Data!$I:$I,"Reyna",Data!$J:$J,"Referral",Data!$C:$C,A10))</f>
        <v>0</v>
      </c>
      <c r="J10">
        <f>IF(A10="","",COUNTIFS(Data!$I:$I,"Reyna",Data!$J:$J,"Transfer",Data!$C:$C,A10))</f>
        <v>0</v>
      </c>
      <c r="K10">
        <f t="shared" ref="K10:K41" si="0">IF(A10="","",SUM(B10:J10))</f>
        <v>7</v>
      </c>
    </row>
    <row r="11" spans="1:11" x14ac:dyDescent="0.25">
      <c r="A11" s="5">
        <v>46021</v>
      </c>
      <c r="B11">
        <f>IF(A11="","",COUNTIFS(Data!$I:$I,"Kirk",Data!$J:$J,"Onboarded",Data!$C:$C,A11))</f>
        <v>2</v>
      </c>
      <c r="C11">
        <f>IF(A11="","",COUNTIFS(Data!$I:$I,"Kirk",Data!$J:$J,"Referral",Data!$C:$C,A11))</f>
        <v>0</v>
      </c>
      <c r="D11">
        <f>IF(A11="","",COUNTIFS(Data!$I:$I,"Kirk",Data!$J:$J,"Transfer",Data!$C:$C,A11))</f>
        <v>2</v>
      </c>
      <c r="E11">
        <f>IF(A11="","",COUNTIFS(Data!$I:$I,"Justin",Data!$J:$J,"Onboarded",Data!$C:$C,A11))</f>
        <v>2</v>
      </c>
      <c r="F11">
        <f>IF(A11="","",COUNTIFS(Data!$I:$I,"Justin",Data!$J:$J,"Referral",Data!$C:$C,A11))</f>
        <v>1</v>
      </c>
      <c r="G11">
        <f>IF(A11="","",COUNTIFS(Data!$I:$I,"Justin",Data!$J:$J,"Transfer",Data!$C:$C,A11))</f>
        <v>0</v>
      </c>
      <c r="H11">
        <f>IF(A11="","",COUNTIFS(Data!$I:$I,"Reyna",Data!$J:$J,"Onboarded",Data!$C:$C,A11))</f>
        <v>1</v>
      </c>
      <c r="I11">
        <f>IF(A11="","",COUNTIFS(Data!$I:$I,"Reyna",Data!$J:$J,"Referral",Data!$C:$C,A11))</f>
        <v>1</v>
      </c>
      <c r="J11">
        <f>IF(A11="","",COUNTIFS(Data!$I:$I,"Reyna",Data!$J:$J,"Transfer",Data!$C:$C,A11))</f>
        <v>1</v>
      </c>
      <c r="K11">
        <f>IF(A11="","",SUM(B11:J11))</f>
        <v>10</v>
      </c>
    </row>
    <row r="12" spans="1:11" x14ac:dyDescent="0.25">
      <c r="A12" s="4">
        <v>46022</v>
      </c>
      <c r="B12">
        <f>IF(A12="","",COUNTIFS(Data!$I:$I,"Kirk",Data!$J:$J,"Onboarded",Data!$C:$C,A12))</f>
        <v>1</v>
      </c>
      <c r="C12">
        <f>IF(A12="","",COUNTIFS(Data!$I:$I,"Kirk",Data!$J:$J,"Referral",Data!$C:$C,A12))</f>
        <v>0</v>
      </c>
      <c r="D12">
        <f>IF(A12="","",COUNTIFS(Data!$I:$I,"Kirk",Data!$J:$J,"Transfer",Data!$C:$C,A12))</f>
        <v>1</v>
      </c>
      <c r="E12">
        <f>IF(A12="","",COUNTIFS(Data!$I:$I,"Justin",Data!$J:$J,"Onboarded",Data!$C:$C,A12))</f>
        <v>1</v>
      </c>
      <c r="F12">
        <f>IF(A12="","",COUNTIFS(Data!$I:$I,"Justin",Data!$J:$J,"Referral",Data!$C:$C,A12))</f>
        <v>0</v>
      </c>
      <c r="G12">
        <f>IF(A12="","",COUNTIFS(Data!$I:$I,"Justin",Data!$J:$J,"Transfer",Data!$C:$C,A12))</f>
        <v>0</v>
      </c>
      <c r="H12">
        <f>IF(A12="","",COUNTIFS(Data!$I:$I,"Reyna",Data!$J:$J,"Onboarded",Data!$C:$C,A12))</f>
        <v>0</v>
      </c>
      <c r="I12">
        <f>IF(A12="","",COUNTIFS(Data!$I:$I,"Reyna",Data!$J:$J,"Referral",Data!$C:$C,A12))</f>
        <v>0</v>
      </c>
      <c r="J12">
        <f>IF(A12="","",COUNTIFS(Data!$I:$I,"Reyna",Data!$J:$J,"Transfer",Data!$C:$C,A12))</f>
        <v>0</v>
      </c>
      <c r="K12">
        <f t="shared" si="0"/>
        <v>3</v>
      </c>
    </row>
    <row r="13" spans="1:11" x14ac:dyDescent="0.25">
      <c r="A13" s="5">
        <v>46023</v>
      </c>
      <c r="B13">
        <f>IF(A13="","",COUNTIFS(Data!$I:$I,"Kirk",Data!$J:$J,"Onboarded",Data!$C:$C,A13))</f>
        <v>0</v>
      </c>
      <c r="C13">
        <f>IF(A13="","",COUNTIFS(Data!$I:$I,"Kirk",Data!$J:$J,"Referral",Data!$C:$C,A13))</f>
        <v>0</v>
      </c>
      <c r="D13">
        <f>IF(A13="","",COUNTIFS(Data!$I:$I,"Kirk",Data!$J:$J,"Transfer",Data!$C:$C,A13))</f>
        <v>0</v>
      </c>
      <c r="E13">
        <f>IF(A13="","",COUNTIFS(Data!$I:$I,"Justin",Data!$J:$J,"Onboarded",Data!$C:$C,A13))</f>
        <v>0</v>
      </c>
      <c r="F13">
        <f>IF(A13="","",COUNTIFS(Data!$I:$I,"Justin",Data!$J:$J,"Referral",Data!$C:$C,A13))</f>
        <v>0</v>
      </c>
      <c r="G13">
        <f>IF(A13="","",COUNTIFS(Data!$I:$I,"Justin",Data!$J:$J,"Transfer",Data!$C:$C,A13))</f>
        <v>0</v>
      </c>
      <c r="H13">
        <f>IF(A13="","",COUNTIFS(Data!$I:$I,"Reyna",Data!$J:$J,"Onboarded",Data!$C:$C,A13))</f>
        <v>0</v>
      </c>
      <c r="I13">
        <f>IF(A13="","",COUNTIFS(Data!$I:$I,"Reyna",Data!$J:$J,"Referral",Data!$C:$C,A13))</f>
        <v>0</v>
      </c>
      <c r="J13">
        <f>IF(A13="","",COUNTIFS(Data!$I:$I,"Reyna",Data!$J:$J,"Transfer",Data!$C:$C,A13))</f>
        <v>0</v>
      </c>
      <c r="K13">
        <f>IF(A13="","",SUM(B13:J13))</f>
        <v>0</v>
      </c>
    </row>
    <row r="14" spans="1:11" x14ac:dyDescent="0.25">
      <c r="A14" s="4">
        <v>46024</v>
      </c>
      <c r="B14">
        <f>IF(A14="","",COUNTIFS(Data!$I:$I,"Kirk",Data!$J:$J,"Onboarded",Data!$C:$C,A14))</f>
        <v>5</v>
      </c>
      <c r="C14">
        <f>IF(A14="","",COUNTIFS(Data!$I:$I,"Kirk",Data!$J:$J,"Referral",Data!$C:$C,A14))</f>
        <v>0</v>
      </c>
      <c r="D14">
        <f>IF(A14="","",COUNTIFS(Data!$I:$I,"Kirk",Data!$J:$J,"Transfer",Data!$C:$C,A14))</f>
        <v>0</v>
      </c>
      <c r="E14">
        <f>IF(A14="","",COUNTIFS(Data!$I:$I,"Justin",Data!$J:$J,"Onboarded",Data!$C:$C,A14))</f>
        <v>2</v>
      </c>
      <c r="F14">
        <f>IF(A14="","",COUNTIFS(Data!$I:$I,"Justin",Data!$J:$J,"Referral",Data!$C:$C,A14))</f>
        <v>0</v>
      </c>
      <c r="G14">
        <f>IF(A14="","",COUNTIFS(Data!$I:$I,"Justin",Data!$J:$J,"Transfer",Data!$C:$C,A14))</f>
        <v>0</v>
      </c>
      <c r="H14">
        <f>IF(A14="","",COUNTIFS(Data!$I:$I,"Reyna",Data!$J:$J,"Onboarded",Data!$C:$C,A14))</f>
        <v>3</v>
      </c>
      <c r="I14">
        <f>IF(A14="","",COUNTIFS(Data!$I:$I,"Reyna",Data!$J:$J,"Referral",Data!$C:$C,A14))</f>
        <v>0</v>
      </c>
      <c r="J14">
        <f>IF(A14="","",COUNTIFS(Data!$I:$I,"Reyna",Data!$J:$J,"Transfer",Data!$C:$C,A14))</f>
        <v>1</v>
      </c>
      <c r="K14">
        <f t="shared" si="0"/>
        <v>11</v>
      </c>
    </row>
    <row r="15" spans="1:11" x14ac:dyDescent="0.25">
      <c r="B15" t="str">
        <f>IF(A15="","",COUNTIFS(Data!$I:$I,"Kirk",Data!$J:$J,"Onboarded",Data!$C:$C,A15))</f>
        <v/>
      </c>
      <c r="C15" t="str">
        <f>IF(A15="","",COUNTIFS(Data!$I:$I,"Kirk",Data!$J:$J,"Referral",Data!$C:$C,A15))</f>
        <v/>
      </c>
      <c r="D15" t="str">
        <f>IF(A15="","",COUNTIFS(Data!$I:$I,"Kirk",Data!$J:$J,"Transfer",Data!$C:$C,A15))</f>
        <v/>
      </c>
      <c r="E15" t="str">
        <f>IF(A15="","",COUNTIFS(Data!$I:$I,"Justin",Data!$J:$J,"Onboarded",Data!$C:$C,A15))</f>
        <v/>
      </c>
      <c r="F15" t="str">
        <f>IF(A15="","",COUNTIFS(Data!$I:$I,"Justin",Data!$J:$J,"Referral",Data!$C:$C,A15))</f>
        <v/>
      </c>
      <c r="G15" t="str">
        <f>IF(A15="","",COUNTIFS(Data!$I:$I,"Justin",Data!$J:$J,"Transfer",Data!$C:$C,A15))</f>
        <v/>
      </c>
      <c r="H15" t="str">
        <f>IF(A15="","",COUNTIFS(Data!$I:$I,"Reyna",Data!$J:$J,"Onboarded",Data!$C:$C,A15))</f>
        <v/>
      </c>
      <c r="I15" t="str">
        <f>IF(A15="","",COUNTIFS(Data!$I:$I,"Reyna",Data!$J:$J,"Referral",Data!$C:$C,A15))</f>
        <v/>
      </c>
      <c r="J15" t="str">
        <f>IF(A15="","",COUNTIFS(Data!$I:$I,"Reyna",Data!$J:$J,"Transfer",Data!$C:$C,A15))</f>
        <v/>
      </c>
      <c r="K15" t="str">
        <f t="shared" si="0"/>
        <v/>
      </c>
    </row>
    <row r="16" spans="1:11" x14ac:dyDescent="0.25">
      <c r="B16" t="str">
        <f>IF(A16="","",COUNTIFS(Data!$I:$I,"Kirk",Data!$J:$J,"Onboarded",Data!$C:$C,A16))</f>
        <v/>
      </c>
      <c r="C16" t="str">
        <f>IF(A16="","",COUNTIFS(Data!$I:$I,"Kirk",Data!$J:$J,"Referral",Data!$C:$C,A16))</f>
        <v/>
      </c>
      <c r="D16" t="str">
        <f>IF(A16="","",COUNTIFS(Data!$I:$I,"Kirk",Data!$J:$J,"Transfer",Data!$C:$C,A16))</f>
        <v/>
      </c>
      <c r="E16" t="str">
        <f>IF(A16="","",COUNTIFS(Data!$I:$I,"Justin",Data!$J:$J,"Onboarded",Data!$C:$C,A16))</f>
        <v/>
      </c>
      <c r="F16" t="str">
        <f>IF(A16="","",COUNTIFS(Data!$I:$I,"Justin",Data!$J:$J,"Referral",Data!$C:$C,A16))</f>
        <v/>
      </c>
      <c r="G16" t="str">
        <f>IF(A16="","",COUNTIFS(Data!$I:$I,"Justin",Data!$J:$J,"Transfer",Data!$C:$C,A16))</f>
        <v/>
      </c>
      <c r="H16" t="str">
        <f>IF(A16="","",COUNTIFS(Data!$I:$I,"Reyna",Data!$J:$J,"Onboarded",Data!$C:$C,A16))</f>
        <v/>
      </c>
      <c r="I16" t="str">
        <f>IF(A16="","",COUNTIFS(Data!$I:$I,"Reyna",Data!$J:$J,"Referral",Data!$C:$C,A16))</f>
        <v/>
      </c>
      <c r="J16" t="str">
        <f>IF(A16="","",COUNTIFS(Data!$I:$I,"Reyna",Data!$J:$J,"Transfer",Data!$C:$C,A16))</f>
        <v/>
      </c>
      <c r="K16" t="str">
        <f t="shared" si="0"/>
        <v/>
      </c>
    </row>
    <row r="17" spans="2:11" x14ac:dyDescent="0.25">
      <c r="B17" t="str">
        <f>IF(A17="","",COUNTIFS(Data!$I:$I,"Kirk",Data!$J:$J,"Onboarded",Data!$C:$C,A17))</f>
        <v/>
      </c>
      <c r="C17" t="str">
        <f>IF(A17="","",COUNTIFS(Data!$I:$I,"Kirk",Data!$J:$J,"Referral",Data!$C:$C,A17))</f>
        <v/>
      </c>
      <c r="D17" t="str">
        <f>IF(A17="","",COUNTIFS(Data!$I:$I,"Kirk",Data!$J:$J,"Transfer",Data!$C:$C,A17))</f>
        <v/>
      </c>
      <c r="E17" t="str">
        <f>IF(A17="","",COUNTIFS(Data!$I:$I,"Justin",Data!$J:$J,"Onboarded",Data!$C:$C,A17))</f>
        <v/>
      </c>
      <c r="F17" t="str">
        <f>IF(A17="","",COUNTIFS(Data!$I:$I,"Justin",Data!$J:$J,"Referral",Data!$C:$C,A17))</f>
        <v/>
      </c>
      <c r="G17" t="str">
        <f>IF(A17="","",COUNTIFS(Data!$I:$I,"Justin",Data!$J:$J,"Transfer",Data!$C:$C,A17))</f>
        <v/>
      </c>
      <c r="H17" t="str">
        <f>IF(A17="","",COUNTIFS(Data!$I:$I,"Reyna",Data!$J:$J,"Onboarded",Data!$C:$C,A17))</f>
        <v/>
      </c>
      <c r="I17" t="str">
        <f>IF(A17="","",COUNTIFS(Data!$I:$I,"Reyna",Data!$J:$J,"Referral",Data!$C:$C,A17))</f>
        <v/>
      </c>
      <c r="J17" t="str">
        <f>IF(A17="","",COUNTIFS(Data!$I:$I,"Reyna",Data!$J:$J,"Transfer",Data!$C:$C,A17))</f>
        <v/>
      </c>
      <c r="K17" t="str">
        <f t="shared" si="0"/>
        <v/>
      </c>
    </row>
    <row r="18" spans="2:11" x14ac:dyDescent="0.25">
      <c r="B18" t="str">
        <f>IF(A18="","",COUNTIFS(Data!$I:$I,"Kirk",Data!$J:$J,"Onboarded",Data!$C:$C,A18))</f>
        <v/>
      </c>
      <c r="C18" t="str">
        <f>IF(A18="","",COUNTIFS(Data!$I:$I,"Kirk",Data!$J:$J,"Referral",Data!$C:$C,A18))</f>
        <v/>
      </c>
      <c r="D18" t="str">
        <f>IF(A18="","",COUNTIFS(Data!$I:$I,"Kirk",Data!$J:$J,"Transfer",Data!$C:$C,A18))</f>
        <v/>
      </c>
      <c r="E18" t="str">
        <f>IF(A18="","",COUNTIFS(Data!$I:$I,"Justin",Data!$J:$J,"Onboarded",Data!$C:$C,A18))</f>
        <v/>
      </c>
      <c r="F18" t="str">
        <f>IF(A18="","",COUNTIFS(Data!$I:$I,"Justin",Data!$J:$J,"Referral",Data!$C:$C,A18))</f>
        <v/>
      </c>
      <c r="G18" t="str">
        <f>IF(A18="","",COUNTIFS(Data!$I:$I,"Justin",Data!$J:$J,"Transfer",Data!$C:$C,A18))</f>
        <v/>
      </c>
      <c r="H18" t="str">
        <f>IF(A18="","",COUNTIFS(Data!$I:$I,"Reyna",Data!$J:$J,"Onboarded",Data!$C:$C,A18))</f>
        <v/>
      </c>
      <c r="I18" t="str">
        <f>IF(A18="","",COUNTIFS(Data!$I:$I,"Reyna",Data!$J:$J,"Referral",Data!$C:$C,A18))</f>
        <v/>
      </c>
      <c r="J18" t="str">
        <f>IF(A18="","",COUNTIFS(Data!$I:$I,"Reyna",Data!$J:$J,"Transfer",Data!$C:$C,A18))</f>
        <v/>
      </c>
      <c r="K18" t="str">
        <f t="shared" si="0"/>
        <v/>
      </c>
    </row>
    <row r="19" spans="2:11" x14ac:dyDescent="0.25">
      <c r="B19" t="str">
        <f>IF(A19="","",COUNTIFS(Data!$I:$I,"Kirk",Data!$J:$J,"Onboarded",Data!$C:$C,A19))</f>
        <v/>
      </c>
      <c r="C19" t="str">
        <f>IF(A19="","",COUNTIFS(Data!$I:$I,"Kirk",Data!$J:$J,"Referral",Data!$C:$C,A19))</f>
        <v/>
      </c>
      <c r="D19" t="str">
        <f>IF(A19="","",COUNTIFS(Data!$I:$I,"Kirk",Data!$J:$J,"Transfer",Data!$C:$C,A19))</f>
        <v/>
      </c>
      <c r="E19" t="str">
        <f>IF(A19="","",COUNTIFS(Data!$I:$I,"Justin",Data!$J:$J,"Onboarded",Data!$C:$C,A19))</f>
        <v/>
      </c>
      <c r="F19" t="str">
        <f>IF(A19="","",COUNTIFS(Data!$I:$I,"Justin",Data!$J:$J,"Referral",Data!$C:$C,A19))</f>
        <v/>
      </c>
      <c r="G19" t="str">
        <f>IF(A19="","",COUNTIFS(Data!$I:$I,"Justin",Data!$J:$J,"Transfer",Data!$C:$C,A19))</f>
        <v/>
      </c>
      <c r="H19" t="str">
        <f>IF(A19="","",COUNTIFS(Data!$I:$I,"Reyna",Data!$J:$J,"Onboarded",Data!$C:$C,A19))</f>
        <v/>
      </c>
      <c r="I19" t="str">
        <f>IF(A19="","",COUNTIFS(Data!$I:$I,"Reyna",Data!$J:$J,"Referral",Data!$C:$C,A19))</f>
        <v/>
      </c>
      <c r="J19" t="str">
        <f>IF(A19="","",COUNTIFS(Data!$I:$I,"Reyna",Data!$J:$J,"Transfer",Data!$C:$C,A19))</f>
        <v/>
      </c>
      <c r="K19" t="str">
        <f t="shared" si="0"/>
        <v/>
      </c>
    </row>
    <row r="20" spans="2:11" x14ac:dyDescent="0.25">
      <c r="B20" t="str">
        <f>IF(A20="","",COUNTIFS(Data!$I:$I,"Kirk",Data!$J:$J,"Onboarded",Data!$C:$C,A20))</f>
        <v/>
      </c>
      <c r="C20" t="str">
        <f>IF(A20="","",COUNTIFS(Data!$I:$I,"Kirk",Data!$J:$J,"Referral",Data!$C:$C,A20))</f>
        <v/>
      </c>
      <c r="D20" t="str">
        <f>IF(A20="","",COUNTIFS(Data!$I:$I,"Kirk",Data!$J:$J,"Transfer",Data!$C:$C,A20))</f>
        <v/>
      </c>
      <c r="E20" t="str">
        <f>IF(A20="","",COUNTIFS(Data!$I:$I,"Justin",Data!$J:$J,"Onboarded",Data!$C:$C,A20))</f>
        <v/>
      </c>
      <c r="F20" t="str">
        <f>IF(A20="","",COUNTIFS(Data!$I:$I,"Justin",Data!$J:$J,"Referral",Data!$C:$C,A20))</f>
        <v/>
      </c>
      <c r="G20" t="str">
        <f>IF(A20="","",COUNTIFS(Data!$I:$I,"Justin",Data!$J:$J,"Transfer",Data!$C:$C,A20))</f>
        <v/>
      </c>
      <c r="H20" t="str">
        <f>IF(A20="","",COUNTIFS(Data!$I:$I,"Reyna",Data!$J:$J,"Onboarded",Data!$C:$C,A20))</f>
        <v/>
      </c>
      <c r="I20" t="str">
        <f>IF(A20="","",COUNTIFS(Data!$I:$I,"Reyna",Data!$J:$J,"Referral",Data!$C:$C,A20))</f>
        <v/>
      </c>
      <c r="J20" t="str">
        <f>IF(A20="","",COUNTIFS(Data!$I:$I,"Reyna",Data!$J:$J,"Transfer",Data!$C:$C,A20))</f>
        <v/>
      </c>
      <c r="K20" t="str">
        <f t="shared" si="0"/>
        <v/>
      </c>
    </row>
    <row r="21" spans="2:11" x14ac:dyDescent="0.25">
      <c r="B21" t="str">
        <f>IF(A21="","",COUNTIFS(Data!$I:$I,"Kirk",Data!$J:$J,"Onboarded",Data!$C:$C,A21))</f>
        <v/>
      </c>
      <c r="C21" t="str">
        <f>IF(A21="","",COUNTIFS(Data!$I:$I,"Kirk",Data!$J:$J,"Referral",Data!$C:$C,A21))</f>
        <v/>
      </c>
      <c r="D21" t="str">
        <f>IF(A21="","",COUNTIFS(Data!$I:$I,"Kirk",Data!$J:$J,"Transfer",Data!$C:$C,A21))</f>
        <v/>
      </c>
      <c r="E21" t="str">
        <f>IF(A21="","",COUNTIFS(Data!$I:$I,"Justin",Data!$J:$J,"Onboarded",Data!$C:$C,A21))</f>
        <v/>
      </c>
      <c r="F21" t="str">
        <f>IF(A21="","",COUNTIFS(Data!$I:$I,"Justin",Data!$J:$J,"Referral",Data!$C:$C,A21))</f>
        <v/>
      </c>
      <c r="G21" t="str">
        <f>IF(A21="","",COUNTIFS(Data!$I:$I,"Justin",Data!$J:$J,"Transfer",Data!$C:$C,A21))</f>
        <v/>
      </c>
      <c r="H21" t="str">
        <f>IF(A21="","",COUNTIFS(Data!$I:$I,"Reyna",Data!$J:$J,"Onboarded",Data!$C:$C,A21))</f>
        <v/>
      </c>
      <c r="I21" t="str">
        <f>IF(A21="","",COUNTIFS(Data!$I:$I,"Reyna",Data!$J:$J,"Referral",Data!$C:$C,A21))</f>
        <v/>
      </c>
      <c r="J21" t="str">
        <f>IF(A21="","",COUNTIFS(Data!$I:$I,"Reyna",Data!$J:$J,"Transfer",Data!$C:$C,A21))</f>
        <v/>
      </c>
      <c r="K21" t="str">
        <f t="shared" si="0"/>
        <v/>
      </c>
    </row>
    <row r="22" spans="2:11" x14ac:dyDescent="0.25">
      <c r="B22" t="str">
        <f>IF(A22="","",COUNTIFS(Data!$I:$I,"Kirk",Data!$J:$J,"Onboarded",Data!$C:$C,A22))</f>
        <v/>
      </c>
      <c r="C22" t="str">
        <f>IF(A22="","",COUNTIFS(Data!$I:$I,"Kirk",Data!$J:$J,"Referral",Data!$C:$C,A22))</f>
        <v/>
      </c>
      <c r="D22" t="str">
        <f>IF(A22="","",COUNTIFS(Data!$I:$I,"Kirk",Data!$J:$J,"Transfer",Data!$C:$C,A22))</f>
        <v/>
      </c>
      <c r="E22" t="str">
        <f>IF(A22="","",COUNTIFS(Data!$I:$I,"Justin",Data!$J:$J,"Onboarded",Data!$C:$C,A22))</f>
        <v/>
      </c>
      <c r="F22" t="str">
        <f>IF(A22="","",COUNTIFS(Data!$I:$I,"Justin",Data!$J:$J,"Referral",Data!$C:$C,A22))</f>
        <v/>
      </c>
      <c r="G22" t="str">
        <f>IF(A22="","",COUNTIFS(Data!$I:$I,"Justin",Data!$J:$J,"Transfer",Data!$C:$C,A22))</f>
        <v/>
      </c>
      <c r="H22" t="str">
        <f>IF(A22="","",COUNTIFS(Data!$I:$I,"Reyna",Data!$J:$J,"Onboarded",Data!$C:$C,A22))</f>
        <v/>
      </c>
      <c r="I22" t="str">
        <f>IF(A22="","",COUNTIFS(Data!$I:$I,"Reyna",Data!$J:$J,"Referral",Data!$C:$C,A22))</f>
        <v/>
      </c>
      <c r="J22" t="str">
        <f>IF(A22="","",COUNTIFS(Data!$I:$I,"Reyna",Data!$J:$J,"Transfer",Data!$C:$C,A22))</f>
        <v/>
      </c>
      <c r="K22" t="str">
        <f t="shared" si="0"/>
        <v/>
      </c>
    </row>
    <row r="23" spans="2:11" x14ac:dyDescent="0.25">
      <c r="B23" t="str">
        <f>IF(A23="","",COUNTIFS(Data!$I:$I,"Kirk",Data!$J:$J,"Onboarded",Data!$C:$C,A23))</f>
        <v/>
      </c>
      <c r="C23" t="str">
        <f>IF(A23="","",COUNTIFS(Data!$I:$I,"Kirk",Data!$J:$J,"Referral",Data!$C:$C,A23))</f>
        <v/>
      </c>
      <c r="D23" t="str">
        <f>IF(A23="","",COUNTIFS(Data!$I:$I,"Kirk",Data!$J:$J,"Transfer",Data!$C:$C,A23))</f>
        <v/>
      </c>
      <c r="E23" t="str">
        <f>IF(A23="","",COUNTIFS(Data!$I:$I,"Justin",Data!$J:$J,"Onboarded",Data!$C:$C,A23))</f>
        <v/>
      </c>
      <c r="F23" t="str">
        <f>IF(A23="","",COUNTIFS(Data!$I:$I,"Justin",Data!$J:$J,"Referral",Data!$C:$C,A23))</f>
        <v/>
      </c>
      <c r="G23" t="str">
        <f>IF(A23="","",COUNTIFS(Data!$I:$I,"Justin",Data!$J:$J,"Transfer",Data!$C:$C,A23))</f>
        <v/>
      </c>
      <c r="H23" t="str">
        <f>IF(A23="","",COUNTIFS(Data!$I:$I,"Reyna",Data!$J:$J,"Onboarded",Data!$C:$C,A23))</f>
        <v/>
      </c>
      <c r="I23" t="str">
        <f>IF(A23="","",COUNTIFS(Data!$I:$I,"Reyna",Data!$J:$J,"Referral",Data!$C:$C,A23))</f>
        <v/>
      </c>
      <c r="J23" t="str">
        <f>IF(A23="","",COUNTIFS(Data!$I:$I,"Reyna",Data!$J:$J,"Transfer",Data!$C:$C,A23))</f>
        <v/>
      </c>
      <c r="K23" t="str">
        <f t="shared" si="0"/>
        <v/>
      </c>
    </row>
    <row r="24" spans="2:11" x14ac:dyDescent="0.25">
      <c r="B24" t="str">
        <f>IF(A24="","",COUNTIFS(Data!$I:$I,"Kirk",Data!$J:$J,"Onboarded",Data!$C:$C,A24))</f>
        <v/>
      </c>
      <c r="C24" t="str">
        <f>IF(A24="","",COUNTIFS(Data!$I:$I,"Kirk",Data!$J:$J,"Referral",Data!$C:$C,A24))</f>
        <v/>
      </c>
      <c r="D24" t="str">
        <f>IF(A24="","",COUNTIFS(Data!$I:$I,"Kirk",Data!$J:$J,"Transfer",Data!$C:$C,A24))</f>
        <v/>
      </c>
      <c r="E24" t="str">
        <f>IF(A24="","",COUNTIFS(Data!$I:$I,"Justin",Data!$J:$J,"Onboarded",Data!$C:$C,A24))</f>
        <v/>
      </c>
      <c r="F24" t="str">
        <f>IF(A24="","",COUNTIFS(Data!$I:$I,"Justin",Data!$J:$J,"Referral",Data!$C:$C,A24))</f>
        <v/>
      </c>
      <c r="G24" t="str">
        <f>IF(A24="","",COUNTIFS(Data!$I:$I,"Justin",Data!$J:$J,"Transfer",Data!$C:$C,A24))</f>
        <v/>
      </c>
      <c r="H24" t="str">
        <f>IF(A24="","",COUNTIFS(Data!$I:$I,"Reyna",Data!$J:$J,"Onboarded",Data!$C:$C,A24))</f>
        <v/>
      </c>
      <c r="I24" t="str">
        <f>IF(A24="","",COUNTIFS(Data!$I:$I,"Reyna",Data!$J:$J,"Referral",Data!$C:$C,A24))</f>
        <v/>
      </c>
      <c r="J24" t="str">
        <f>IF(A24="","",COUNTIFS(Data!$I:$I,"Reyna",Data!$J:$J,"Transfer",Data!$C:$C,A24))</f>
        <v/>
      </c>
      <c r="K24" t="str">
        <f t="shared" si="0"/>
        <v/>
      </c>
    </row>
    <row r="25" spans="2:11" x14ac:dyDescent="0.25">
      <c r="B25" t="str">
        <f>IF(A25="","",COUNTIFS(Data!$I:$I,"Kirk",Data!$J:$J,"Onboarded",Data!$C:$C,A25))</f>
        <v/>
      </c>
      <c r="C25" t="str">
        <f>IF(A25="","",COUNTIFS(Data!$I:$I,"Kirk",Data!$J:$J,"Referral",Data!$C:$C,A25))</f>
        <v/>
      </c>
      <c r="D25" t="str">
        <f>IF(A25="","",COUNTIFS(Data!$I:$I,"Kirk",Data!$J:$J,"Transfer",Data!$C:$C,A25))</f>
        <v/>
      </c>
      <c r="E25" t="str">
        <f>IF(A25="","",COUNTIFS(Data!$I:$I,"Justin",Data!$J:$J,"Onboarded",Data!$C:$C,A25))</f>
        <v/>
      </c>
      <c r="F25" t="str">
        <f>IF(A25="","",COUNTIFS(Data!$I:$I,"Justin",Data!$J:$J,"Referral",Data!$C:$C,A25))</f>
        <v/>
      </c>
      <c r="G25" t="str">
        <f>IF(A25="","",COUNTIFS(Data!$I:$I,"Justin",Data!$J:$J,"Transfer",Data!$C:$C,A25))</f>
        <v/>
      </c>
      <c r="H25" t="str">
        <f>IF(A25="","",COUNTIFS(Data!$I:$I,"Reyna",Data!$J:$J,"Onboarded",Data!$C:$C,A25))</f>
        <v/>
      </c>
      <c r="I25" t="str">
        <f>IF(A25="","",COUNTIFS(Data!$I:$I,"Reyna",Data!$J:$J,"Referral",Data!$C:$C,A25))</f>
        <v/>
      </c>
      <c r="J25" t="str">
        <f>IF(A25="","",COUNTIFS(Data!$I:$I,"Reyna",Data!$J:$J,"Transfer",Data!$C:$C,A25))</f>
        <v/>
      </c>
      <c r="K25" t="str">
        <f t="shared" si="0"/>
        <v/>
      </c>
    </row>
    <row r="26" spans="2:11" x14ac:dyDescent="0.25">
      <c r="B26" t="str">
        <f>IF(A26="","",COUNTIFS(Data!$I:$I,"Kirk",Data!$J:$J,"Onboarded",Data!$C:$C,A26))</f>
        <v/>
      </c>
      <c r="C26" t="str">
        <f>IF(A26="","",COUNTIFS(Data!$I:$I,"Kirk",Data!$J:$J,"Referral",Data!$C:$C,A26))</f>
        <v/>
      </c>
      <c r="D26" t="str">
        <f>IF(A26="","",COUNTIFS(Data!$I:$I,"Kirk",Data!$J:$J,"Transfer",Data!$C:$C,A26))</f>
        <v/>
      </c>
      <c r="E26" t="str">
        <f>IF(A26="","",COUNTIFS(Data!$I:$I,"Justin",Data!$J:$J,"Onboarded",Data!$C:$C,A26))</f>
        <v/>
      </c>
      <c r="F26" t="str">
        <f>IF(A26="","",COUNTIFS(Data!$I:$I,"Justin",Data!$J:$J,"Referral",Data!$C:$C,A26))</f>
        <v/>
      </c>
      <c r="G26" t="str">
        <f>IF(A26="","",COUNTIFS(Data!$I:$I,"Justin",Data!$J:$J,"Transfer",Data!$C:$C,A26))</f>
        <v/>
      </c>
      <c r="H26" t="str">
        <f>IF(A26="","",COUNTIFS(Data!$I:$I,"Reyna",Data!$J:$J,"Onboarded",Data!$C:$C,A26))</f>
        <v/>
      </c>
      <c r="I26" t="str">
        <f>IF(A26="","",COUNTIFS(Data!$I:$I,"Reyna",Data!$J:$J,"Referral",Data!$C:$C,A26))</f>
        <v/>
      </c>
      <c r="J26" t="str">
        <f>IF(A26="","",COUNTIFS(Data!$I:$I,"Reyna",Data!$J:$J,"Transfer",Data!$C:$C,A26))</f>
        <v/>
      </c>
      <c r="K26" t="str">
        <f t="shared" si="0"/>
        <v/>
      </c>
    </row>
    <row r="27" spans="2:11" x14ac:dyDescent="0.25">
      <c r="B27" t="str">
        <f>IF(A27="","",COUNTIFS(Data!$I:$I,"Kirk",Data!$J:$J,"Onboarded",Data!$C:$C,A27))</f>
        <v/>
      </c>
      <c r="C27" t="str">
        <f>IF(A27="","",COUNTIFS(Data!$I:$I,"Kirk",Data!$J:$J,"Referral",Data!$C:$C,A27))</f>
        <v/>
      </c>
      <c r="D27" t="str">
        <f>IF(A27="","",COUNTIFS(Data!$I:$I,"Kirk",Data!$J:$J,"Transfer",Data!$C:$C,A27))</f>
        <v/>
      </c>
      <c r="E27" t="str">
        <f>IF(A27="","",COUNTIFS(Data!$I:$I,"Justin",Data!$J:$J,"Onboarded",Data!$C:$C,A27))</f>
        <v/>
      </c>
      <c r="F27" t="str">
        <f>IF(A27="","",COUNTIFS(Data!$I:$I,"Justin",Data!$J:$J,"Referral",Data!$C:$C,A27))</f>
        <v/>
      </c>
      <c r="G27" t="str">
        <f>IF(A27="","",COUNTIFS(Data!$I:$I,"Justin",Data!$J:$J,"Transfer",Data!$C:$C,A27))</f>
        <v/>
      </c>
      <c r="H27" t="str">
        <f>IF(A27="","",COUNTIFS(Data!$I:$I,"Reyna",Data!$J:$J,"Onboarded",Data!$C:$C,A27))</f>
        <v/>
      </c>
      <c r="I27" t="str">
        <f>IF(A27="","",COUNTIFS(Data!$I:$I,"Reyna",Data!$J:$J,"Referral",Data!$C:$C,A27))</f>
        <v/>
      </c>
      <c r="J27" t="str">
        <f>IF(A27="","",COUNTIFS(Data!$I:$I,"Reyna",Data!$J:$J,"Transfer",Data!$C:$C,A27))</f>
        <v/>
      </c>
      <c r="K27" t="str">
        <f t="shared" si="0"/>
        <v/>
      </c>
    </row>
    <row r="28" spans="2:11" x14ac:dyDescent="0.25">
      <c r="B28" t="str">
        <f>IF(A28="","",COUNTIFS(Data!$I:$I,"Kirk",Data!$J:$J,"Onboarded",Data!$C:$C,A28))</f>
        <v/>
      </c>
      <c r="C28" t="str">
        <f>IF(A28="","",COUNTIFS(Data!$I:$I,"Kirk",Data!$J:$J,"Referral",Data!$C:$C,A28))</f>
        <v/>
      </c>
      <c r="D28" t="str">
        <f>IF(A28="","",COUNTIFS(Data!$I:$I,"Kirk",Data!$J:$J,"Transfer",Data!$C:$C,A28))</f>
        <v/>
      </c>
      <c r="E28" t="str">
        <f>IF(A28="","",COUNTIFS(Data!$I:$I,"Justin",Data!$J:$J,"Onboarded",Data!$C:$C,A28))</f>
        <v/>
      </c>
      <c r="F28" t="str">
        <f>IF(A28="","",COUNTIFS(Data!$I:$I,"Justin",Data!$J:$J,"Referral",Data!$C:$C,A28))</f>
        <v/>
      </c>
      <c r="G28" t="str">
        <f>IF(A28="","",COUNTIFS(Data!$I:$I,"Justin",Data!$J:$J,"Transfer",Data!$C:$C,A28))</f>
        <v/>
      </c>
      <c r="H28" t="str">
        <f>IF(A28="","",COUNTIFS(Data!$I:$I,"Reyna",Data!$J:$J,"Onboarded",Data!$C:$C,A28))</f>
        <v/>
      </c>
      <c r="I28" t="str">
        <f>IF(A28="","",COUNTIFS(Data!$I:$I,"Reyna",Data!$J:$J,"Referral",Data!$C:$C,A28))</f>
        <v/>
      </c>
      <c r="J28" t="str">
        <f>IF(A28="","",COUNTIFS(Data!$I:$I,"Reyna",Data!$J:$J,"Transfer",Data!$C:$C,A28))</f>
        <v/>
      </c>
      <c r="K28" t="str">
        <f t="shared" si="0"/>
        <v/>
      </c>
    </row>
    <row r="29" spans="2:11" x14ac:dyDescent="0.25">
      <c r="B29" t="str">
        <f>IF(A29="","",COUNTIFS(Data!$I:$I,"Kirk",Data!$J:$J,"Onboarded",Data!$C:$C,A29))</f>
        <v/>
      </c>
      <c r="C29" t="str">
        <f>IF(A29="","",COUNTIFS(Data!$I:$I,"Kirk",Data!$J:$J,"Referral",Data!$C:$C,A29))</f>
        <v/>
      </c>
      <c r="D29" t="str">
        <f>IF(A29="","",COUNTIFS(Data!$I:$I,"Kirk",Data!$J:$J,"Transfer",Data!$C:$C,A29))</f>
        <v/>
      </c>
      <c r="E29" t="str">
        <f>IF(A29="","",COUNTIFS(Data!$I:$I,"Justin",Data!$J:$J,"Onboarded",Data!$C:$C,A29))</f>
        <v/>
      </c>
      <c r="F29" t="str">
        <f>IF(A29="","",COUNTIFS(Data!$I:$I,"Justin",Data!$J:$J,"Referral",Data!$C:$C,A29))</f>
        <v/>
      </c>
      <c r="G29" t="str">
        <f>IF(A29="","",COUNTIFS(Data!$I:$I,"Justin",Data!$J:$J,"Transfer",Data!$C:$C,A29))</f>
        <v/>
      </c>
      <c r="H29" t="str">
        <f>IF(A29="","",COUNTIFS(Data!$I:$I,"Reyna",Data!$J:$J,"Onboarded",Data!$C:$C,A29))</f>
        <v/>
      </c>
      <c r="I29" t="str">
        <f>IF(A29="","",COUNTIFS(Data!$I:$I,"Reyna",Data!$J:$J,"Referral",Data!$C:$C,A29))</f>
        <v/>
      </c>
      <c r="J29" t="str">
        <f>IF(A29="","",COUNTIFS(Data!$I:$I,"Reyna",Data!$J:$J,"Transfer",Data!$C:$C,A29))</f>
        <v/>
      </c>
      <c r="K29" t="str">
        <f t="shared" si="0"/>
        <v/>
      </c>
    </row>
    <row r="30" spans="2:11" x14ac:dyDescent="0.25">
      <c r="B30" t="str">
        <f>IF(A30="","",COUNTIFS(Data!$I:$I,"Kirk",Data!$J:$J,"Onboarded",Data!$C:$C,A30))</f>
        <v/>
      </c>
      <c r="C30" t="str">
        <f>IF(A30="","",COUNTIFS(Data!$I:$I,"Kirk",Data!$J:$J,"Referral",Data!$C:$C,A30))</f>
        <v/>
      </c>
      <c r="D30" t="str">
        <f>IF(A30="","",COUNTIFS(Data!$I:$I,"Kirk",Data!$J:$J,"Transfer",Data!$C:$C,A30))</f>
        <v/>
      </c>
      <c r="E30" t="str">
        <f>IF(A30="","",COUNTIFS(Data!$I:$I,"Justin",Data!$J:$J,"Onboarded",Data!$C:$C,A30))</f>
        <v/>
      </c>
      <c r="F30" t="str">
        <f>IF(A30="","",COUNTIFS(Data!$I:$I,"Justin",Data!$J:$J,"Referral",Data!$C:$C,A30))</f>
        <v/>
      </c>
      <c r="G30" t="str">
        <f>IF(A30="","",COUNTIFS(Data!$I:$I,"Justin",Data!$J:$J,"Transfer",Data!$C:$C,A30))</f>
        <v/>
      </c>
      <c r="H30" t="str">
        <f>IF(A30="","",COUNTIFS(Data!$I:$I,"Reyna",Data!$J:$J,"Onboarded",Data!$C:$C,A30))</f>
        <v/>
      </c>
      <c r="I30" t="str">
        <f>IF(A30="","",COUNTIFS(Data!$I:$I,"Reyna",Data!$J:$J,"Referral",Data!$C:$C,A30))</f>
        <v/>
      </c>
      <c r="J30" t="str">
        <f>IF(A30="","",COUNTIFS(Data!$I:$I,"Reyna",Data!$J:$J,"Transfer",Data!$C:$C,A30))</f>
        <v/>
      </c>
      <c r="K30" t="str">
        <f t="shared" si="0"/>
        <v/>
      </c>
    </row>
    <row r="31" spans="2:11" x14ac:dyDescent="0.25">
      <c r="B31" t="str">
        <f>IF(A31="","",COUNTIFS(Data!$I:$I,"Kirk",Data!$J:$J,"Onboarded",Data!$C:$C,A31))</f>
        <v/>
      </c>
      <c r="C31" t="str">
        <f>IF(A31="","",COUNTIFS(Data!$I:$I,"Kirk",Data!$J:$J,"Referral",Data!$C:$C,A31))</f>
        <v/>
      </c>
      <c r="D31" t="str">
        <f>IF(A31="","",COUNTIFS(Data!$I:$I,"Kirk",Data!$J:$J,"Transfer",Data!$C:$C,A31))</f>
        <v/>
      </c>
      <c r="E31" t="str">
        <f>IF(A31="","",COUNTIFS(Data!$I:$I,"Justin",Data!$J:$J,"Onboarded",Data!$C:$C,A31))</f>
        <v/>
      </c>
      <c r="F31" t="str">
        <f>IF(A31="","",COUNTIFS(Data!$I:$I,"Justin",Data!$J:$J,"Referral",Data!$C:$C,A31))</f>
        <v/>
      </c>
      <c r="G31" t="str">
        <f>IF(A31="","",COUNTIFS(Data!$I:$I,"Justin",Data!$J:$J,"Transfer",Data!$C:$C,A31))</f>
        <v/>
      </c>
      <c r="H31" t="str">
        <f>IF(A31="","",COUNTIFS(Data!$I:$I,"Reyna",Data!$J:$J,"Onboarded",Data!$C:$C,A31))</f>
        <v/>
      </c>
      <c r="I31" t="str">
        <f>IF(A31="","",COUNTIFS(Data!$I:$I,"Reyna",Data!$J:$J,"Referral",Data!$C:$C,A31))</f>
        <v/>
      </c>
      <c r="J31" t="str">
        <f>IF(A31="","",COUNTIFS(Data!$I:$I,"Reyna",Data!$J:$J,"Transfer",Data!$C:$C,A31))</f>
        <v/>
      </c>
      <c r="K31" t="str">
        <f t="shared" si="0"/>
        <v/>
      </c>
    </row>
    <row r="32" spans="2:11" x14ac:dyDescent="0.25">
      <c r="B32" t="str">
        <f>IF(A32="","",COUNTIFS(Data!$I:$I,"Kirk",Data!$J:$J,"Onboarded",Data!$C:$C,A32))</f>
        <v/>
      </c>
      <c r="C32" t="str">
        <f>IF(A32="","",COUNTIFS(Data!$I:$I,"Kirk",Data!$J:$J,"Referral",Data!$C:$C,A32))</f>
        <v/>
      </c>
      <c r="D32" t="str">
        <f>IF(A32="","",COUNTIFS(Data!$I:$I,"Kirk",Data!$J:$J,"Transfer",Data!$C:$C,A32))</f>
        <v/>
      </c>
      <c r="E32" t="str">
        <f>IF(A32="","",COUNTIFS(Data!$I:$I,"Justin",Data!$J:$J,"Onboarded",Data!$C:$C,A32))</f>
        <v/>
      </c>
      <c r="F32" t="str">
        <f>IF(A32="","",COUNTIFS(Data!$I:$I,"Justin",Data!$J:$J,"Referral",Data!$C:$C,A32))</f>
        <v/>
      </c>
      <c r="G32" t="str">
        <f>IF(A32="","",COUNTIFS(Data!$I:$I,"Justin",Data!$J:$J,"Transfer",Data!$C:$C,A32))</f>
        <v/>
      </c>
      <c r="H32" t="str">
        <f>IF(A32="","",COUNTIFS(Data!$I:$I,"Reyna",Data!$J:$J,"Onboarded",Data!$C:$C,A32))</f>
        <v/>
      </c>
      <c r="I32" t="str">
        <f>IF(A32="","",COUNTIFS(Data!$I:$I,"Reyna",Data!$J:$J,"Referral",Data!$C:$C,A32))</f>
        <v/>
      </c>
      <c r="J32" t="str">
        <f>IF(A32="","",COUNTIFS(Data!$I:$I,"Reyna",Data!$J:$J,"Transfer",Data!$C:$C,A32))</f>
        <v/>
      </c>
      <c r="K32" t="str">
        <f t="shared" si="0"/>
        <v/>
      </c>
    </row>
    <row r="33" spans="2:11" x14ac:dyDescent="0.25">
      <c r="B33" t="str">
        <f>IF(A33="","",COUNTIFS(Data!$I:$I,"Kirk",Data!$J:$J,"Onboarded",Data!$C:$C,A33))</f>
        <v/>
      </c>
      <c r="C33" t="str">
        <f>IF(A33="","",COUNTIFS(Data!$I:$I,"Kirk",Data!$J:$J,"Referral",Data!$C:$C,A33))</f>
        <v/>
      </c>
      <c r="D33" t="str">
        <f>IF(A33="","",COUNTIFS(Data!$I:$I,"Kirk",Data!$J:$J,"Transfer",Data!$C:$C,A33))</f>
        <v/>
      </c>
      <c r="E33" t="str">
        <f>IF(A33="","",COUNTIFS(Data!$I:$I,"Justin",Data!$J:$J,"Onboarded",Data!$C:$C,A33))</f>
        <v/>
      </c>
      <c r="F33" t="str">
        <f>IF(A33="","",COUNTIFS(Data!$I:$I,"Justin",Data!$J:$J,"Referral",Data!$C:$C,A33))</f>
        <v/>
      </c>
      <c r="G33" t="str">
        <f>IF(A33="","",COUNTIFS(Data!$I:$I,"Justin",Data!$J:$J,"Transfer",Data!$C:$C,A33))</f>
        <v/>
      </c>
      <c r="H33" t="str">
        <f>IF(A33="","",COUNTIFS(Data!$I:$I,"Reyna",Data!$J:$J,"Onboarded",Data!$C:$C,A33))</f>
        <v/>
      </c>
      <c r="I33" t="str">
        <f>IF(A33="","",COUNTIFS(Data!$I:$I,"Reyna",Data!$J:$J,"Referral",Data!$C:$C,A33))</f>
        <v/>
      </c>
      <c r="J33" t="str">
        <f>IF(A33="","",COUNTIFS(Data!$I:$I,"Reyna",Data!$J:$J,"Transfer",Data!$C:$C,A33))</f>
        <v/>
      </c>
      <c r="K33" t="str">
        <f t="shared" si="0"/>
        <v/>
      </c>
    </row>
    <row r="34" spans="2:11" x14ac:dyDescent="0.25">
      <c r="B34" t="str">
        <f>IF(A34="","",COUNTIFS(Data!$I:$I,"Kirk",Data!$J:$J,"Onboarded",Data!$C:$C,A34))</f>
        <v/>
      </c>
      <c r="C34" t="str">
        <f>IF(A34="","",COUNTIFS(Data!$I:$I,"Kirk",Data!$J:$J,"Referral",Data!$C:$C,A34))</f>
        <v/>
      </c>
      <c r="D34" t="str">
        <f>IF(A34="","",COUNTIFS(Data!$I:$I,"Kirk",Data!$J:$J,"Transfer",Data!$C:$C,A34))</f>
        <v/>
      </c>
      <c r="E34" t="str">
        <f>IF(A34="","",COUNTIFS(Data!$I:$I,"Justin",Data!$J:$J,"Onboarded",Data!$C:$C,A34))</f>
        <v/>
      </c>
      <c r="F34" t="str">
        <f>IF(A34="","",COUNTIFS(Data!$I:$I,"Justin",Data!$J:$J,"Referral",Data!$C:$C,A34))</f>
        <v/>
      </c>
      <c r="G34" t="str">
        <f>IF(A34="","",COUNTIFS(Data!$I:$I,"Justin",Data!$J:$J,"Transfer",Data!$C:$C,A34))</f>
        <v/>
      </c>
      <c r="H34" t="str">
        <f>IF(A34="","",COUNTIFS(Data!$I:$I,"Reyna",Data!$J:$J,"Onboarded",Data!$C:$C,A34))</f>
        <v/>
      </c>
      <c r="I34" t="str">
        <f>IF(A34="","",COUNTIFS(Data!$I:$I,"Reyna",Data!$J:$J,"Referral",Data!$C:$C,A34))</f>
        <v/>
      </c>
      <c r="J34" t="str">
        <f>IF(A34="","",COUNTIFS(Data!$I:$I,"Reyna",Data!$J:$J,"Transfer",Data!$C:$C,A34))</f>
        <v/>
      </c>
      <c r="K34" t="str">
        <f t="shared" si="0"/>
        <v/>
      </c>
    </row>
    <row r="35" spans="2:11" x14ac:dyDescent="0.25">
      <c r="B35" t="str">
        <f>IF(A35="","",COUNTIFS(Data!$I:$I,"Kirk",Data!$J:$J,"Onboarded",Data!$C:$C,A35))</f>
        <v/>
      </c>
      <c r="C35" t="str">
        <f>IF(A35="","",COUNTIFS(Data!$I:$I,"Kirk",Data!$J:$J,"Referral",Data!$C:$C,A35))</f>
        <v/>
      </c>
      <c r="D35" t="str">
        <f>IF(A35="","",COUNTIFS(Data!$I:$I,"Kirk",Data!$J:$J,"Transfer",Data!$C:$C,A35))</f>
        <v/>
      </c>
      <c r="E35" t="str">
        <f>IF(A35="","",COUNTIFS(Data!$I:$I,"Justin",Data!$J:$J,"Onboarded",Data!$C:$C,A35))</f>
        <v/>
      </c>
      <c r="F35" t="str">
        <f>IF(A35="","",COUNTIFS(Data!$I:$I,"Justin",Data!$J:$J,"Referral",Data!$C:$C,A35))</f>
        <v/>
      </c>
      <c r="G35" t="str">
        <f>IF(A35="","",COUNTIFS(Data!$I:$I,"Justin",Data!$J:$J,"Transfer",Data!$C:$C,A35))</f>
        <v/>
      </c>
      <c r="H35" t="str">
        <f>IF(A35="","",COUNTIFS(Data!$I:$I,"Reyna",Data!$J:$J,"Onboarded",Data!$C:$C,A35))</f>
        <v/>
      </c>
      <c r="I35" t="str">
        <f>IF(A35="","",COUNTIFS(Data!$I:$I,"Reyna",Data!$J:$J,"Referral",Data!$C:$C,A35))</f>
        <v/>
      </c>
      <c r="J35" t="str">
        <f>IF(A35="","",COUNTIFS(Data!$I:$I,"Reyna",Data!$J:$J,"Transfer",Data!$C:$C,A35))</f>
        <v/>
      </c>
      <c r="K35" t="str">
        <f t="shared" si="0"/>
        <v/>
      </c>
    </row>
    <row r="36" spans="2:11" x14ac:dyDescent="0.25">
      <c r="B36" t="str">
        <f>IF(A36="","",COUNTIFS(Data!$I:$I,"Kirk",Data!$J:$J,"Onboarded",Data!$C:$C,A36))</f>
        <v/>
      </c>
      <c r="C36" t="str">
        <f>IF(A36="","",COUNTIFS(Data!$I:$I,"Kirk",Data!$J:$J,"Referral",Data!$C:$C,A36))</f>
        <v/>
      </c>
      <c r="D36" t="str">
        <f>IF(A36="","",COUNTIFS(Data!$I:$I,"Kirk",Data!$J:$J,"Transfer",Data!$C:$C,A36))</f>
        <v/>
      </c>
      <c r="E36" t="str">
        <f>IF(A36="","",COUNTIFS(Data!$I:$I,"Justin",Data!$J:$J,"Onboarded",Data!$C:$C,A36))</f>
        <v/>
      </c>
      <c r="F36" t="str">
        <f>IF(A36="","",COUNTIFS(Data!$I:$I,"Justin",Data!$J:$J,"Referral",Data!$C:$C,A36))</f>
        <v/>
      </c>
      <c r="G36" t="str">
        <f>IF(A36="","",COUNTIFS(Data!$I:$I,"Justin",Data!$J:$J,"Transfer",Data!$C:$C,A36))</f>
        <v/>
      </c>
      <c r="H36" t="str">
        <f>IF(A36="","",COUNTIFS(Data!$I:$I,"Reyna",Data!$J:$J,"Onboarded",Data!$C:$C,A36))</f>
        <v/>
      </c>
      <c r="I36" t="str">
        <f>IF(A36="","",COUNTIFS(Data!$I:$I,"Reyna",Data!$J:$J,"Referral",Data!$C:$C,A36))</f>
        <v/>
      </c>
      <c r="J36" t="str">
        <f>IF(A36="","",COUNTIFS(Data!$I:$I,"Reyna",Data!$J:$J,"Transfer",Data!$C:$C,A36))</f>
        <v/>
      </c>
      <c r="K36" t="str">
        <f t="shared" si="0"/>
        <v/>
      </c>
    </row>
    <row r="37" spans="2:11" x14ac:dyDescent="0.25">
      <c r="B37" t="str">
        <f>IF(A37="","",COUNTIFS(Data!$I:$I,"Kirk",Data!$J:$J,"Onboarded",Data!$C:$C,A37))</f>
        <v/>
      </c>
      <c r="C37" t="str">
        <f>IF(A37="","",COUNTIFS(Data!$I:$I,"Kirk",Data!$J:$J,"Referral",Data!$C:$C,A37))</f>
        <v/>
      </c>
      <c r="D37" t="str">
        <f>IF(A37="","",COUNTIFS(Data!$I:$I,"Kirk",Data!$J:$J,"Transfer",Data!$C:$C,A37))</f>
        <v/>
      </c>
      <c r="E37" t="str">
        <f>IF(A37="","",COUNTIFS(Data!$I:$I,"Justin",Data!$J:$J,"Onboarded",Data!$C:$C,A37))</f>
        <v/>
      </c>
      <c r="F37" t="str">
        <f>IF(A37="","",COUNTIFS(Data!$I:$I,"Justin",Data!$J:$J,"Referral",Data!$C:$C,A37))</f>
        <v/>
      </c>
      <c r="G37" t="str">
        <f>IF(A37="","",COUNTIFS(Data!$I:$I,"Justin",Data!$J:$J,"Transfer",Data!$C:$C,A37))</f>
        <v/>
      </c>
      <c r="H37" t="str">
        <f>IF(A37="","",COUNTIFS(Data!$I:$I,"Reyna",Data!$J:$J,"Onboarded",Data!$C:$C,A37))</f>
        <v/>
      </c>
      <c r="I37" t="str">
        <f>IF(A37="","",COUNTIFS(Data!$I:$I,"Reyna",Data!$J:$J,"Referral",Data!$C:$C,A37))</f>
        <v/>
      </c>
      <c r="J37" t="str">
        <f>IF(A37="","",COUNTIFS(Data!$I:$I,"Reyna",Data!$J:$J,"Transfer",Data!$C:$C,A37))</f>
        <v/>
      </c>
      <c r="K37" t="str">
        <f t="shared" si="0"/>
        <v/>
      </c>
    </row>
    <row r="38" spans="2:11" x14ac:dyDescent="0.25">
      <c r="B38" t="str">
        <f>IF(A38="","",COUNTIFS(Data!$I:$I,"Kirk",Data!$J:$J,"Onboarded",Data!$C:$C,A38))</f>
        <v/>
      </c>
      <c r="C38" t="str">
        <f>IF(A38="","",COUNTIFS(Data!$I:$I,"Kirk",Data!$J:$J,"Referral",Data!$C:$C,A38))</f>
        <v/>
      </c>
      <c r="D38" t="str">
        <f>IF(A38="","",COUNTIFS(Data!$I:$I,"Kirk",Data!$J:$J,"Transfer",Data!$C:$C,A38))</f>
        <v/>
      </c>
      <c r="E38" t="str">
        <f>IF(A38="","",COUNTIFS(Data!$I:$I,"Justin",Data!$J:$J,"Onboarded",Data!$C:$C,A38))</f>
        <v/>
      </c>
      <c r="F38" t="str">
        <f>IF(A38="","",COUNTIFS(Data!$I:$I,"Justin",Data!$J:$J,"Referral",Data!$C:$C,A38))</f>
        <v/>
      </c>
      <c r="G38" t="str">
        <f>IF(A38="","",COUNTIFS(Data!$I:$I,"Justin",Data!$J:$J,"Transfer",Data!$C:$C,A38))</f>
        <v/>
      </c>
      <c r="H38" t="str">
        <f>IF(A38="","",COUNTIFS(Data!$I:$I,"Reyna",Data!$J:$J,"Onboarded",Data!$C:$C,A38))</f>
        <v/>
      </c>
      <c r="I38" t="str">
        <f>IF(A38="","",COUNTIFS(Data!$I:$I,"Reyna",Data!$J:$J,"Referral",Data!$C:$C,A38))</f>
        <v/>
      </c>
      <c r="J38" t="str">
        <f>IF(A38="","",COUNTIFS(Data!$I:$I,"Reyna",Data!$J:$J,"Transfer",Data!$C:$C,A38))</f>
        <v/>
      </c>
      <c r="K38" t="str">
        <f t="shared" si="0"/>
        <v/>
      </c>
    </row>
    <row r="39" spans="2:11" x14ac:dyDescent="0.25">
      <c r="B39" t="str">
        <f>IF(A39="","",COUNTIFS(Data!$I:$I,"Kirk",Data!$J:$J,"Onboarded",Data!$C:$C,A39))</f>
        <v/>
      </c>
      <c r="C39" t="str">
        <f>IF(A39="","",COUNTIFS(Data!$I:$I,"Kirk",Data!$J:$J,"Referral",Data!$C:$C,A39))</f>
        <v/>
      </c>
      <c r="D39" t="str">
        <f>IF(A39="","",COUNTIFS(Data!$I:$I,"Kirk",Data!$J:$J,"Transfer",Data!$C:$C,A39))</f>
        <v/>
      </c>
      <c r="E39" t="str">
        <f>IF(A39="","",COUNTIFS(Data!$I:$I,"Justin",Data!$J:$J,"Onboarded",Data!$C:$C,A39))</f>
        <v/>
      </c>
      <c r="F39" t="str">
        <f>IF(A39="","",COUNTIFS(Data!$I:$I,"Justin",Data!$J:$J,"Referral",Data!$C:$C,A39))</f>
        <v/>
      </c>
      <c r="G39" t="str">
        <f>IF(A39="","",COUNTIFS(Data!$I:$I,"Justin",Data!$J:$J,"Transfer",Data!$C:$C,A39))</f>
        <v/>
      </c>
      <c r="H39" t="str">
        <f>IF(A39="","",COUNTIFS(Data!$I:$I,"Reyna",Data!$J:$J,"Onboarded",Data!$C:$C,A39))</f>
        <v/>
      </c>
      <c r="I39" t="str">
        <f>IF(A39="","",COUNTIFS(Data!$I:$I,"Reyna",Data!$J:$J,"Referral",Data!$C:$C,A39))</f>
        <v/>
      </c>
      <c r="J39" t="str">
        <f>IF(A39="","",COUNTIFS(Data!$I:$I,"Reyna",Data!$J:$J,"Transfer",Data!$C:$C,A39))</f>
        <v/>
      </c>
      <c r="K39" t="str">
        <f t="shared" si="0"/>
        <v/>
      </c>
    </row>
    <row r="40" spans="2:11" x14ac:dyDescent="0.25">
      <c r="B40" t="str">
        <f>IF(A40="","",COUNTIFS(Data!$I:$I,"Kirk",Data!$J:$J,"Onboarded",Data!$C:$C,A40))</f>
        <v/>
      </c>
      <c r="C40" t="str">
        <f>IF(A40="","",COUNTIFS(Data!$I:$I,"Kirk",Data!$J:$J,"Referral",Data!$C:$C,A40))</f>
        <v/>
      </c>
      <c r="D40" t="str">
        <f>IF(A40="","",COUNTIFS(Data!$I:$I,"Kirk",Data!$J:$J,"Transfer",Data!$C:$C,A40))</f>
        <v/>
      </c>
      <c r="E40" t="str">
        <f>IF(A40="","",COUNTIFS(Data!$I:$I,"Justin",Data!$J:$J,"Onboarded",Data!$C:$C,A40))</f>
        <v/>
      </c>
      <c r="F40" t="str">
        <f>IF(A40="","",COUNTIFS(Data!$I:$I,"Justin",Data!$J:$J,"Referral",Data!$C:$C,A40))</f>
        <v/>
      </c>
      <c r="G40" t="str">
        <f>IF(A40="","",COUNTIFS(Data!$I:$I,"Justin",Data!$J:$J,"Transfer",Data!$C:$C,A40))</f>
        <v/>
      </c>
      <c r="H40" t="str">
        <f>IF(A40="","",COUNTIFS(Data!$I:$I,"Reyna",Data!$J:$J,"Onboarded",Data!$C:$C,A40))</f>
        <v/>
      </c>
      <c r="I40" t="str">
        <f>IF(A40="","",COUNTIFS(Data!$I:$I,"Reyna",Data!$J:$J,"Referral",Data!$C:$C,A40))</f>
        <v/>
      </c>
      <c r="J40" t="str">
        <f>IF(A40="","",COUNTIFS(Data!$I:$I,"Reyna",Data!$J:$J,"Transfer",Data!$C:$C,A40))</f>
        <v/>
      </c>
      <c r="K40" t="str">
        <f t="shared" si="0"/>
        <v/>
      </c>
    </row>
    <row r="41" spans="2:11" x14ac:dyDescent="0.25">
      <c r="B41" t="str">
        <f>IF(A41="","",COUNTIFS(Data!$I:$I,"Kirk",Data!$J:$J,"Onboarded",Data!$C:$C,A41))</f>
        <v/>
      </c>
      <c r="C41" t="str">
        <f>IF(A41="","",COUNTIFS(Data!$I:$I,"Kirk",Data!$J:$J,"Referral",Data!$C:$C,A41))</f>
        <v/>
      </c>
      <c r="D41" t="str">
        <f>IF(A41="","",COUNTIFS(Data!$I:$I,"Kirk",Data!$J:$J,"Transfer",Data!$C:$C,A41))</f>
        <v/>
      </c>
      <c r="E41" t="str">
        <f>IF(A41="","",COUNTIFS(Data!$I:$I,"Justin",Data!$J:$J,"Onboarded",Data!$C:$C,A41))</f>
        <v/>
      </c>
      <c r="F41" t="str">
        <f>IF(A41="","",COUNTIFS(Data!$I:$I,"Justin",Data!$J:$J,"Referral",Data!$C:$C,A41))</f>
        <v/>
      </c>
      <c r="G41" t="str">
        <f>IF(A41="","",COUNTIFS(Data!$I:$I,"Justin",Data!$J:$J,"Transfer",Data!$C:$C,A41))</f>
        <v/>
      </c>
      <c r="H41" t="str">
        <f>IF(A41="","",COUNTIFS(Data!$I:$I,"Reyna",Data!$J:$J,"Onboarded",Data!$C:$C,A41))</f>
        <v/>
      </c>
      <c r="I41" t="str">
        <f>IF(A41="","",COUNTIFS(Data!$I:$I,"Reyna",Data!$J:$J,"Referral",Data!$C:$C,A41))</f>
        <v/>
      </c>
      <c r="J41" t="str">
        <f>IF(A41="","",COUNTIFS(Data!$I:$I,"Reyna",Data!$J:$J,"Transfer",Data!$C:$C,A41))</f>
        <v/>
      </c>
      <c r="K41" t="str">
        <f t="shared" si="0"/>
        <v/>
      </c>
    </row>
    <row r="42" spans="2:11" x14ac:dyDescent="0.25">
      <c r="B42" t="str">
        <f>IF(A42="","",COUNTIFS(Data!$I:$I,"Kirk",Data!$J:$J,"Onboarded",Data!$C:$C,A42))</f>
        <v/>
      </c>
      <c r="C42" t="str">
        <f>IF(A42="","",COUNTIFS(Data!$I:$I,"Kirk",Data!$J:$J,"Referral",Data!$C:$C,A42))</f>
        <v/>
      </c>
      <c r="D42" t="str">
        <f>IF(A42="","",COUNTIFS(Data!$I:$I,"Kirk",Data!$J:$J,"Transfer",Data!$C:$C,A42))</f>
        <v/>
      </c>
      <c r="E42" t="str">
        <f>IF(A42="","",COUNTIFS(Data!$I:$I,"Justin",Data!$J:$J,"Onboarded",Data!$C:$C,A42))</f>
        <v/>
      </c>
      <c r="F42" t="str">
        <f>IF(A42="","",COUNTIFS(Data!$I:$I,"Justin",Data!$J:$J,"Referral",Data!$C:$C,A42))</f>
        <v/>
      </c>
      <c r="G42" t="str">
        <f>IF(A42="","",COUNTIFS(Data!$I:$I,"Justin",Data!$J:$J,"Transfer",Data!$C:$C,A42))</f>
        <v/>
      </c>
      <c r="H42" t="str">
        <f>IF(A42="","",COUNTIFS(Data!$I:$I,"Reyna",Data!$J:$J,"Onboarded",Data!$C:$C,A42))</f>
        <v/>
      </c>
      <c r="I42" t="str">
        <f>IF(A42="","",COUNTIFS(Data!$I:$I,"Reyna",Data!$J:$J,"Referral",Data!$C:$C,A42))</f>
        <v/>
      </c>
      <c r="J42" t="str">
        <f>IF(A42="","",COUNTIFS(Data!$I:$I,"Reyna",Data!$J:$J,"Transfer",Data!$C:$C,A42))</f>
        <v/>
      </c>
      <c r="K42" t="str">
        <f t="shared" ref="K42:K73" si="1">IF(A42="","",SUM(B42:J42))</f>
        <v/>
      </c>
    </row>
    <row r="43" spans="2:11" x14ac:dyDescent="0.25">
      <c r="B43" t="str">
        <f>IF(A43="","",COUNTIFS(Data!$I:$I,"Kirk",Data!$J:$J,"Onboarded",Data!$C:$C,A43))</f>
        <v/>
      </c>
      <c r="C43" t="str">
        <f>IF(A43="","",COUNTIFS(Data!$I:$I,"Kirk",Data!$J:$J,"Referral",Data!$C:$C,A43))</f>
        <v/>
      </c>
      <c r="D43" t="str">
        <f>IF(A43="","",COUNTIFS(Data!$I:$I,"Kirk",Data!$J:$J,"Transfer",Data!$C:$C,A43))</f>
        <v/>
      </c>
      <c r="E43" t="str">
        <f>IF(A43="","",COUNTIFS(Data!$I:$I,"Justin",Data!$J:$J,"Onboarded",Data!$C:$C,A43))</f>
        <v/>
      </c>
      <c r="F43" t="str">
        <f>IF(A43="","",COUNTIFS(Data!$I:$I,"Justin",Data!$J:$J,"Referral",Data!$C:$C,A43))</f>
        <v/>
      </c>
      <c r="G43" t="str">
        <f>IF(A43="","",COUNTIFS(Data!$I:$I,"Justin",Data!$J:$J,"Transfer",Data!$C:$C,A43))</f>
        <v/>
      </c>
      <c r="H43" t="str">
        <f>IF(A43="","",COUNTIFS(Data!$I:$I,"Reyna",Data!$J:$J,"Onboarded",Data!$C:$C,A43))</f>
        <v/>
      </c>
      <c r="I43" t="str">
        <f>IF(A43="","",COUNTIFS(Data!$I:$I,"Reyna",Data!$J:$J,"Referral",Data!$C:$C,A43))</f>
        <v/>
      </c>
      <c r="J43" t="str">
        <f>IF(A43="","",COUNTIFS(Data!$I:$I,"Reyna",Data!$J:$J,"Transfer",Data!$C:$C,A43))</f>
        <v/>
      </c>
      <c r="K43" t="str">
        <f t="shared" si="1"/>
        <v/>
      </c>
    </row>
    <row r="44" spans="2:11" x14ac:dyDescent="0.25">
      <c r="B44" t="str">
        <f>IF(A44="","",COUNTIFS(Data!$I:$I,"Kirk",Data!$J:$J,"Onboarded",Data!$C:$C,A44))</f>
        <v/>
      </c>
      <c r="C44" t="str">
        <f>IF(A44="","",COUNTIFS(Data!$I:$I,"Kirk",Data!$J:$J,"Referral",Data!$C:$C,A44))</f>
        <v/>
      </c>
      <c r="D44" t="str">
        <f>IF(A44="","",COUNTIFS(Data!$I:$I,"Kirk",Data!$J:$J,"Transfer",Data!$C:$C,A44))</f>
        <v/>
      </c>
      <c r="E44" t="str">
        <f>IF(A44="","",COUNTIFS(Data!$I:$I,"Justin",Data!$J:$J,"Onboarded",Data!$C:$C,A44))</f>
        <v/>
      </c>
      <c r="F44" t="str">
        <f>IF(A44="","",COUNTIFS(Data!$I:$I,"Justin",Data!$J:$J,"Referral",Data!$C:$C,A44))</f>
        <v/>
      </c>
      <c r="G44" t="str">
        <f>IF(A44="","",COUNTIFS(Data!$I:$I,"Justin",Data!$J:$J,"Transfer",Data!$C:$C,A44))</f>
        <v/>
      </c>
      <c r="H44" t="str">
        <f>IF(A44="","",COUNTIFS(Data!$I:$I,"Reyna",Data!$J:$J,"Onboarded",Data!$C:$C,A44))</f>
        <v/>
      </c>
      <c r="I44" t="str">
        <f>IF(A44="","",COUNTIFS(Data!$I:$I,"Reyna",Data!$J:$J,"Referral",Data!$C:$C,A44))</f>
        <v/>
      </c>
      <c r="J44" t="str">
        <f>IF(A44="","",COUNTIFS(Data!$I:$I,"Reyna",Data!$J:$J,"Transfer",Data!$C:$C,A44))</f>
        <v/>
      </c>
      <c r="K44" t="str">
        <f t="shared" si="1"/>
        <v/>
      </c>
    </row>
    <row r="45" spans="2:11" x14ac:dyDescent="0.25">
      <c r="B45" t="str">
        <f>IF(A45="","",COUNTIFS(Data!$I:$I,"Kirk",Data!$J:$J,"Onboarded",Data!$C:$C,A45))</f>
        <v/>
      </c>
      <c r="C45" t="str">
        <f>IF(A45="","",COUNTIFS(Data!$I:$I,"Kirk",Data!$J:$J,"Referral",Data!$C:$C,A45))</f>
        <v/>
      </c>
      <c r="D45" t="str">
        <f>IF(A45="","",COUNTIFS(Data!$I:$I,"Kirk",Data!$J:$J,"Transfer",Data!$C:$C,A45))</f>
        <v/>
      </c>
      <c r="E45" t="str">
        <f>IF(A45="","",COUNTIFS(Data!$I:$I,"Justin",Data!$J:$J,"Onboarded",Data!$C:$C,A45))</f>
        <v/>
      </c>
      <c r="F45" t="str">
        <f>IF(A45="","",COUNTIFS(Data!$I:$I,"Justin",Data!$J:$J,"Referral",Data!$C:$C,A45))</f>
        <v/>
      </c>
      <c r="G45" t="str">
        <f>IF(A45="","",COUNTIFS(Data!$I:$I,"Justin",Data!$J:$J,"Transfer",Data!$C:$C,A45))</f>
        <v/>
      </c>
      <c r="H45" t="str">
        <f>IF(A45="","",COUNTIFS(Data!$I:$I,"Reyna",Data!$J:$J,"Onboarded",Data!$C:$C,A45))</f>
        <v/>
      </c>
      <c r="I45" t="str">
        <f>IF(A45="","",COUNTIFS(Data!$I:$I,"Reyna",Data!$J:$J,"Referral",Data!$C:$C,A45))</f>
        <v/>
      </c>
      <c r="J45" t="str">
        <f>IF(A45="","",COUNTIFS(Data!$I:$I,"Reyna",Data!$J:$J,"Transfer",Data!$C:$C,A45))</f>
        <v/>
      </c>
      <c r="K45" t="str">
        <f t="shared" si="1"/>
        <v/>
      </c>
    </row>
    <row r="46" spans="2:11" x14ac:dyDescent="0.25">
      <c r="B46" t="str">
        <f>IF(A46="","",COUNTIFS(Data!$I:$I,"Kirk",Data!$J:$J,"Onboarded",Data!$C:$C,A46))</f>
        <v/>
      </c>
      <c r="C46" t="str">
        <f>IF(A46="","",COUNTIFS(Data!$I:$I,"Kirk",Data!$J:$J,"Referral",Data!$C:$C,A46))</f>
        <v/>
      </c>
      <c r="D46" t="str">
        <f>IF(A46="","",COUNTIFS(Data!$I:$I,"Kirk",Data!$J:$J,"Transfer",Data!$C:$C,A46))</f>
        <v/>
      </c>
      <c r="E46" t="str">
        <f>IF(A46="","",COUNTIFS(Data!$I:$I,"Justin",Data!$J:$J,"Onboarded",Data!$C:$C,A46))</f>
        <v/>
      </c>
      <c r="F46" t="str">
        <f>IF(A46="","",COUNTIFS(Data!$I:$I,"Justin",Data!$J:$J,"Referral",Data!$C:$C,A46))</f>
        <v/>
      </c>
      <c r="G46" t="str">
        <f>IF(A46="","",COUNTIFS(Data!$I:$I,"Justin",Data!$J:$J,"Transfer",Data!$C:$C,A46))</f>
        <v/>
      </c>
      <c r="H46" t="str">
        <f>IF(A46="","",COUNTIFS(Data!$I:$I,"Reyna",Data!$J:$J,"Onboarded",Data!$C:$C,A46))</f>
        <v/>
      </c>
      <c r="I46" t="str">
        <f>IF(A46="","",COUNTIFS(Data!$I:$I,"Reyna",Data!$J:$J,"Referral",Data!$C:$C,A46))</f>
        <v/>
      </c>
      <c r="J46" t="str">
        <f>IF(A46="","",COUNTIFS(Data!$I:$I,"Reyna",Data!$J:$J,"Transfer",Data!$C:$C,A46))</f>
        <v/>
      </c>
      <c r="K46" t="str">
        <f t="shared" si="1"/>
        <v/>
      </c>
    </row>
    <row r="47" spans="2:11" x14ac:dyDescent="0.25">
      <c r="B47" t="str">
        <f>IF(A47="","",COUNTIFS(Data!$I:$I,"Kirk",Data!$J:$J,"Onboarded",Data!$C:$C,A47))</f>
        <v/>
      </c>
      <c r="C47" t="str">
        <f>IF(A47="","",COUNTIFS(Data!$I:$I,"Kirk",Data!$J:$J,"Referral",Data!$C:$C,A47))</f>
        <v/>
      </c>
      <c r="D47" t="str">
        <f>IF(A47="","",COUNTIFS(Data!$I:$I,"Kirk",Data!$J:$J,"Transfer",Data!$C:$C,A47))</f>
        <v/>
      </c>
      <c r="E47" t="str">
        <f>IF(A47="","",COUNTIFS(Data!$I:$I,"Justin",Data!$J:$J,"Onboarded",Data!$C:$C,A47))</f>
        <v/>
      </c>
      <c r="F47" t="str">
        <f>IF(A47="","",COUNTIFS(Data!$I:$I,"Justin",Data!$J:$J,"Referral",Data!$C:$C,A47))</f>
        <v/>
      </c>
      <c r="G47" t="str">
        <f>IF(A47="","",COUNTIFS(Data!$I:$I,"Justin",Data!$J:$J,"Transfer",Data!$C:$C,A47))</f>
        <v/>
      </c>
      <c r="H47" t="str">
        <f>IF(A47="","",COUNTIFS(Data!$I:$I,"Reyna",Data!$J:$J,"Onboarded",Data!$C:$C,A47))</f>
        <v/>
      </c>
      <c r="I47" t="str">
        <f>IF(A47="","",COUNTIFS(Data!$I:$I,"Reyna",Data!$J:$J,"Referral",Data!$C:$C,A47))</f>
        <v/>
      </c>
      <c r="J47" t="str">
        <f>IF(A47="","",COUNTIFS(Data!$I:$I,"Reyna",Data!$J:$J,"Transfer",Data!$C:$C,A47))</f>
        <v/>
      </c>
      <c r="K47" t="str">
        <f t="shared" si="1"/>
        <v/>
      </c>
    </row>
    <row r="48" spans="2:11" x14ac:dyDescent="0.25">
      <c r="B48" t="str">
        <f>IF(A48="","",COUNTIFS(Data!$I:$I,"Kirk",Data!$J:$J,"Onboarded",Data!$C:$C,A48))</f>
        <v/>
      </c>
      <c r="C48" t="str">
        <f>IF(A48="","",COUNTIFS(Data!$I:$I,"Kirk",Data!$J:$J,"Referral",Data!$C:$C,A48))</f>
        <v/>
      </c>
      <c r="D48" t="str">
        <f>IF(A48="","",COUNTIFS(Data!$I:$I,"Kirk",Data!$J:$J,"Transfer",Data!$C:$C,A48))</f>
        <v/>
      </c>
      <c r="E48" t="str">
        <f>IF(A48="","",COUNTIFS(Data!$I:$I,"Justin",Data!$J:$J,"Onboarded",Data!$C:$C,A48))</f>
        <v/>
      </c>
      <c r="F48" t="str">
        <f>IF(A48="","",COUNTIFS(Data!$I:$I,"Justin",Data!$J:$J,"Referral",Data!$C:$C,A48))</f>
        <v/>
      </c>
      <c r="G48" t="str">
        <f>IF(A48="","",COUNTIFS(Data!$I:$I,"Justin",Data!$J:$J,"Transfer",Data!$C:$C,A48))</f>
        <v/>
      </c>
      <c r="H48" t="str">
        <f>IF(A48="","",COUNTIFS(Data!$I:$I,"Reyna",Data!$J:$J,"Onboarded",Data!$C:$C,A48))</f>
        <v/>
      </c>
      <c r="I48" t="str">
        <f>IF(A48="","",COUNTIFS(Data!$I:$I,"Reyna",Data!$J:$J,"Referral",Data!$C:$C,A48))</f>
        <v/>
      </c>
      <c r="J48" t="str">
        <f>IF(A48="","",COUNTIFS(Data!$I:$I,"Reyna",Data!$J:$J,"Transfer",Data!$C:$C,A48))</f>
        <v/>
      </c>
      <c r="K48" t="str">
        <f t="shared" si="1"/>
        <v/>
      </c>
    </row>
    <row r="49" spans="2:11" x14ac:dyDescent="0.25">
      <c r="B49" t="str">
        <f>IF(A49="","",COUNTIFS(Data!$I:$I,"Kirk",Data!$J:$J,"Onboarded",Data!$C:$C,A49))</f>
        <v/>
      </c>
      <c r="C49" t="str">
        <f>IF(A49="","",COUNTIFS(Data!$I:$I,"Kirk",Data!$J:$J,"Referral",Data!$C:$C,A49))</f>
        <v/>
      </c>
      <c r="D49" t="str">
        <f>IF(A49="","",COUNTIFS(Data!$I:$I,"Kirk",Data!$J:$J,"Transfer",Data!$C:$C,A49))</f>
        <v/>
      </c>
      <c r="E49" t="str">
        <f>IF(A49="","",COUNTIFS(Data!$I:$I,"Justin",Data!$J:$J,"Onboarded",Data!$C:$C,A49))</f>
        <v/>
      </c>
      <c r="F49" t="str">
        <f>IF(A49="","",COUNTIFS(Data!$I:$I,"Justin",Data!$J:$J,"Referral",Data!$C:$C,A49))</f>
        <v/>
      </c>
      <c r="G49" t="str">
        <f>IF(A49="","",COUNTIFS(Data!$I:$I,"Justin",Data!$J:$J,"Transfer",Data!$C:$C,A49))</f>
        <v/>
      </c>
      <c r="H49" t="str">
        <f>IF(A49="","",COUNTIFS(Data!$I:$I,"Reyna",Data!$J:$J,"Onboarded",Data!$C:$C,A49))</f>
        <v/>
      </c>
      <c r="I49" t="str">
        <f>IF(A49="","",COUNTIFS(Data!$I:$I,"Reyna",Data!$J:$J,"Referral",Data!$C:$C,A49))</f>
        <v/>
      </c>
      <c r="J49" t="str">
        <f>IF(A49="","",COUNTIFS(Data!$I:$I,"Reyna",Data!$J:$J,"Transfer",Data!$C:$C,A49))</f>
        <v/>
      </c>
      <c r="K49" t="str">
        <f t="shared" si="1"/>
        <v/>
      </c>
    </row>
    <row r="50" spans="2:11" x14ac:dyDescent="0.25">
      <c r="B50" t="str">
        <f>IF(A50="","",COUNTIFS(Data!$I:$I,"Kirk",Data!$J:$J,"Onboarded",Data!$C:$C,A50))</f>
        <v/>
      </c>
      <c r="C50" t="str">
        <f>IF(A50="","",COUNTIFS(Data!$I:$I,"Kirk",Data!$J:$J,"Referral",Data!$C:$C,A50))</f>
        <v/>
      </c>
      <c r="D50" t="str">
        <f>IF(A50="","",COUNTIFS(Data!$I:$I,"Kirk",Data!$J:$J,"Transfer",Data!$C:$C,A50))</f>
        <v/>
      </c>
      <c r="E50" t="str">
        <f>IF(A50="","",COUNTIFS(Data!$I:$I,"Justin",Data!$J:$J,"Onboarded",Data!$C:$C,A50))</f>
        <v/>
      </c>
      <c r="F50" t="str">
        <f>IF(A50="","",COUNTIFS(Data!$I:$I,"Justin",Data!$J:$J,"Referral",Data!$C:$C,A50))</f>
        <v/>
      </c>
      <c r="G50" t="str">
        <f>IF(A50="","",COUNTIFS(Data!$I:$I,"Justin",Data!$J:$J,"Transfer",Data!$C:$C,A50))</f>
        <v/>
      </c>
      <c r="H50" t="str">
        <f>IF(A50="","",COUNTIFS(Data!$I:$I,"Reyna",Data!$J:$J,"Onboarded",Data!$C:$C,A50))</f>
        <v/>
      </c>
      <c r="I50" t="str">
        <f>IF(A50="","",COUNTIFS(Data!$I:$I,"Reyna",Data!$J:$J,"Referral",Data!$C:$C,A50))</f>
        <v/>
      </c>
      <c r="J50" t="str">
        <f>IF(A50="","",COUNTIFS(Data!$I:$I,"Reyna",Data!$J:$J,"Transfer",Data!$C:$C,A50))</f>
        <v/>
      </c>
      <c r="K50" t="str">
        <f t="shared" si="1"/>
        <v/>
      </c>
    </row>
    <row r="51" spans="2:11" x14ac:dyDescent="0.25">
      <c r="B51" t="str">
        <f>IF(A51="","",COUNTIFS(Data!$I:$I,"Kirk",Data!$J:$J,"Onboarded",Data!$C:$C,A51))</f>
        <v/>
      </c>
      <c r="C51" t="str">
        <f>IF(A51="","",COUNTIFS(Data!$I:$I,"Kirk",Data!$J:$J,"Referral",Data!$C:$C,A51))</f>
        <v/>
      </c>
      <c r="D51" t="str">
        <f>IF(A51="","",COUNTIFS(Data!$I:$I,"Kirk",Data!$J:$J,"Transfer",Data!$C:$C,A51))</f>
        <v/>
      </c>
      <c r="E51" t="str">
        <f>IF(A51="","",COUNTIFS(Data!$I:$I,"Justin",Data!$J:$J,"Onboarded",Data!$C:$C,A51))</f>
        <v/>
      </c>
      <c r="F51" t="str">
        <f>IF(A51="","",COUNTIFS(Data!$I:$I,"Justin",Data!$J:$J,"Referral",Data!$C:$C,A51))</f>
        <v/>
      </c>
      <c r="G51" t="str">
        <f>IF(A51="","",COUNTIFS(Data!$I:$I,"Justin",Data!$J:$J,"Transfer",Data!$C:$C,A51))</f>
        <v/>
      </c>
      <c r="H51" t="str">
        <f>IF(A51="","",COUNTIFS(Data!$I:$I,"Reyna",Data!$J:$J,"Onboarded",Data!$C:$C,A51))</f>
        <v/>
      </c>
      <c r="I51" t="str">
        <f>IF(A51="","",COUNTIFS(Data!$I:$I,"Reyna",Data!$J:$J,"Referral",Data!$C:$C,A51))</f>
        <v/>
      </c>
      <c r="J51" t="str">
        <f>IF(A51="","",COUNTIFS(Data!$I:$I,"Reyna",Data!$J:$J,"Transfer",Data!$C:$C,A51))</f>
        <v/>
      </c>
      <c r="K51" t="str">
        <f t="shared" si="1"/>
        <v/>
      </c>
    </row>
    <row r="52" spans="2:11" x14ac:dyDescent="0.25">
      <c r="B52" t="str">
        <f>IF(A52="","",COUNTIFS(Data!$I:$I,"Kirk",Data!$J:$J,"Onboarded",Data!$C:$C,A52))</f>
        <v/>
      </c>
      <c r="C52" t="str">
        <f>IF(A52="","",COUNTIFS(Data!$I:$I,"Kirk",Data!$J:$J,"Referral",Data!$C:$C,A52))</f>
        <v/>
      </c>
      <c r="D52" t="str">
        <f>IF(A52="","",COUNTIFS(Data!$I:$I,"Kirk",Data!$J:$J,"Transfer",Data!$C:$C,A52))</f>
        <v/>
      </c>
      <c r="E52" t="str">
        <f>IF(A52="","",COUNTIFS(Data!$I:$I,"Justin",Data!$J:$J,"Onboarded",Data!$C:$C,A52))</f>
        <v/>
      </c>
      <c r="F52" t="str">
        <f>IF(A52="","",COUNTIFS(Data!$I:$I,"Justin",Data!$J:$J,"Referral",Data!$C:$C,A52))</f>
        <v/>
      </c>
      <c r="G52" t="str">
        <f>IF(A52="","",COUNTIFS(Data!$I:$I,"Justin",Data!$J:$J,"Transfer",Data!$C:$C,A52))</f>
        <v/>
      </c>
      <c r="H52" t="str">
        <f>IF(A52="","",COUNTIFS(Data!$I:$I,"Reyna",Data!$J:$J,"Onboarded",Data!$C:$C,A52))</f>
        <v/>
      </c>
      <c r="I52" t="str">
        <f>IF(A52="","",COUNTIFS(Data!$I:$I,"Reyna",Data!$J:$J,"Referral",Data!$C:$C,A52))</f>
        <v/>
      </c>
      <c r="J52" t="str">
        <f>IF(A52="","",COUNTIFS(Data!$I:$I,"Reyna",Data!$J:$J,"Transfer",Data!$C:$C,A52))</f>
        <v/>
      </c>
      <c r="K52" t="str">
        <f t="shared" si="1"/>
        <v/>
      </c>
    </row>
    <row r="53" spans="2:11" x14ac:dyDescent="0.25">
      <c r="B53" t="str">
        <f>IF(A53="","",COUNTIFS(Data!$I:$I,"Kirk",Data!$J:$J,"Onboarded",Data!$C:$C,A53))</f>
        <v/>
      </c>
      <c r="C53" t="str">
        <f>IF(A53="","",COUNTIFS(Data!$I:$I,"Kirk",Data!$J:$J,"Referral",Data!$C:$C,A53))</f>
        <v/>
      </c>
      <c r="D53" t="str">
        <f>IF(A53="","",COUNTIFS(Data!$I:$I,"Kirk",Data!$J:$J,"Transfer",Data!$C:$C,A53))</f>
        <v/>
      </c>
      <c r="E53" t="str">
        <f>IF(A53="","",COUNTIFS(Data!$I:$I,"Justin",Data!$J:$J,"Onboarded",Data!$C:$C,A53))</f>
        <v/>
      </c>
      <c r="F53" t="str">
        <f>IF(A53="","",COUNTIFS(Data!$I:$I,"Justin",Data!$J:$J,"Referral",Data!$C:$C,A53))</f>
        <v/>
      </c>
      <c r="G53" t="str">
        <f>IF(A53="","",COUNTIFS(Data!$I:$I,"Justin",Data!$J:$J,"Transfer",Data!$C:$C,A53))</f>
        <v/>
      </c>
      <c r="H53" t="str">
        <f>IF(A53="","",COUNTIFS(Data!$I:$I,"Reyna",Data!$J:$J,"Onboarded",Data!$C:$C,A53))</f>
        <v/>
      </c>
      <c r="I53" t="str">
        <f>IF(A53="","",COUNTIFS(Data!$I:$I,"Reyna",Data!$J:$J,"Referral",Data!$C:$C,A53))</f>
        <v/>
      </c>
      <c r="J53" t="str">
        <f>IF(A53="","",COUNTIFS(Data!$I:$I,"Reyna",Data!$J:$J,"Transfer",Data!$C:$C,A53))</f>
        <v/>
      </c>
      <c r="K53" t="str">
        <f t="shared" si="1"/>
        <v/>
      </c>
    </row>
    <row r="54" spans="2:11" x14ac:dyDescent="0.25">
      <c r="B54" t="str">
        <f>IF(A54="","",COUNTIFS(Data!$I:$I,"Kirk",Data!$J:$J,"Onboarded",Data!$C:$C,A54))</f>
        <v/>
      </c>
      <c r="C54" t="str">
        <f>IF(A54="","",COUNTIFS(Data!$I:$I,"Kirk",Data!$J:$J,"Referral",Data!$C:$C,A54))</f>
        <v/>
      </c>
      <c r="D54" t="str">
        <f>IF(A54="","",COUNTIFS(Data!$I:$I,"Kirk",Data!$J:$J,"Transfer",Data!$C:$C,A54))</f>
        <v/>
      </c>
      <c r="E54" t="str">
        <f>IF(A54="","",COUNTIFS(Data!$I:$I,"Justin",Data!$J:$J,"Onboarded",Data!$C:$C,A54))</f>
        <v/>
      </c>
      <c r="F54" t="str">
        <f>IF(A54="","",COUNTIFS(Data!$I:$I,"Justin",Data!$J:$J,"Referral",Data!$C:$C,A54))</f>
        <v/>
      </c>
      <c r="G54" t="str">
        <f>IF(A54="","",COUNTIFS(Data!$I:$I,"Justin",Data!$J:$J,"Transfer",Data!$C:$C,A54))</f>
        <v/>
      </c>
      <c r="H54" t="str">
        <f>IF(A54="","",COUNTIFS(Data!$I:$I,"Reyna",Data!$J:$J,"Onboarded",Data!$C:$C,A54))</f>
        <v/>
      </c>
      <c r="I54" t="str">
        <f>IF(A54="","",COUNTIFS(Data!$I:$I,"Reyna",Data!$J:$J,"Referral",Data!$C:$C,A54))</f>
        <v/>
      </c>
      <c r="J54" t="str">
        <f>IF(A54="","",COUNTIFS(Data!$I:$I,"Reyna",Data!$J:$J,"Transfer",Data!$C:$C,A54))</f>
        <v/>
      </c>
      <c r="K54" t="str">
        <f t="shared" si="1"/>
        <v/>
      </c>
    </row>
    <row r="55" spans="2:11" x14ac:dyDescent="0.25">
      <c r="B55" t="str">
        <f>IF(A55="","",COUNTIFS(Data!$I:$I,"Kirk",Data!$J:$J,"Onboarded",Data!$C:$C,A55))</f>
        <v/>
      </c>
      <c r="C55" t="str">
        <f>IF(A55="","",COUNTIFS(Data!$I:$I,"Kirk",Data!$J:$J,"Referral",Data!$C:$C,A55))</f>
        <v/>
      </c>
      <c r="D55" t="str">
        <f>IF(A55="","",COUNTIFS(Data!$I:$I,"Kirk",Data!$J:$J,"Transfer",Data!$C:$C,A55))</f>
        <v/>
      </c>
      <c r="E55" t="str">
        <f>IF(A55="","",COUNTIFS(Data!$I:$I,"Justin",Data!$J:$J,"Onboarded",Data!$C:$C,A55))</f>
        <v/>
      </c>
      <c r="F55" t="str">
        <f>IF(A55="","",COUNTIFS(Data!$I:$I,"Justin",Data!$J:$J,"Referral",Data!$C:$C,A55))</f>
        <v/>
      </c>
      <c r="G55" t="str">
        <f>IF(A55="","",COUNTIFS(Data!$I:$I,"Justin",Data!$J:$J,"Transfer",Data!$C:$C,A55))</f>
        <v/>
      </c>
      <c r="H55" t="str">
        <f>IF(A55="","",COUNTIFS(Data!$I:$I,"Reyna",Data!$J:$J,"Onboarded",Data!$C:$C,A55))</f>
        <v/>
      </c>
      <c r="I55" t="str">
        <f>IF(A55="","",COUNTIFS(Data!$I:$I,"Reyna",Data!$J:$J,"Referral",Data!$C:$C,A55))</f>
        <v/>
      </c>
      <c r="J55" t="str">
        <f>IF(A55="","",COUNTIFS(Data!$I:$I,"Reyna",Data!$J:$J,"Transfer",Data!$C:$C,A55))</f>
        <v/>
      </c>
      <c r="K55" t="str">
        <f t="shared" si="1"/>
        <v/>
      </c>
    </row>
    <row r="56" spans="2:11" x14ac:dyDescent="0.25">
      <c r="B56" t="str">
        <f>IF(A56="","",COUNTIFS(Data!$I:$I,"Kirk",Data!$J:$J,"Onboarded",Data!$C:$C,A56))</f>
        <v/>
      </c>
      <c r="C56" t="str">
        <f>IF(A56="","",COUNTIFS(Data!$I:$I,"Kirk",Data!$J:$J,"Referral",Data!$C:$C,A56))</f>
        <v/>
      </c>
      <c r="D56" t="str">
        <f>IF(A56="","",COUNTIFS(Data!$I:$I,"Kirk",Data!$J:$J,"Transfer",Data!$C:$C,A56))</f>
        <v/>
      </c>
      <c r="E56" t="str">
        <f>IF(A56="","",COUNTIFS(Data!$I:$I,"Justin",Data!$J:$J,"Onboarded",Data!$C:$C,A56))</f>
        <v/>
      </c>
      <c r="F56" t="str">
        <f>IF(A56="","",COUNTIFS(Data!$I:$I,"Justin",Data!$J:$J,"Referral",Data!$C:$C,A56))</f>
        <v/>
      </c>
      <c r="G56" t="str">
        <f>IF(A56="","",COUNTIFS(Data!$I:$I,"Justin",Data!$J:$J,"Transfer",Data!$C:$C,A56))</f>
        <v/>
      </c>
      <c r="H56" t="str">
        <f>IF(A56="","",COUNTIFS(Data!$I:$I,"Reyna",Data!$J:$J,"Onboarded",Data!$C:$C,A56))</f>
        <v/>
      </c>
      <c r="I56" t="str">
        <f>IF(A56="","",COUNTIFS(Data!$I:$I,"Reyna",Data!$J:$J,"Referral",Data!$C:$C,A56))</f>
        <v/>
      </c>
      <c r="J56" t="str">
        <f>IF(A56="","",COUNTIFS(Data!$I:$I,"Reyna",Data!$J:$J,"Transfer",Data!$C:$C,A56))</f>
        <v/>
      </c>
      <c r="K56" t="str">
        <f t="shared" si="1"/>
        <v/>
      </c>
    </row>
    <row r="57" spans="2:11" x14ac:dyDescent="0.25">
      <c r="B57" t="str">
        <f>IF(A57="","",COUNTIFS(Data!$I:$I,"Kirk",Data!$J:$J,"Onboarded",Data!$C:$C,A57))</f>
        <v/>
      </c>
      <c r="C57" t="str">
        <f>IF(A57="","",COUNTIFS(Data!$I:$I,"Kirk",Data!$J:$J,"Referral",Data!$C:$C,A57))</f>
        <v/>
      </c>
      <c r="D57" t="str">
        <f>IF(A57="","",COUNTIFS(Data!$I:$I,"Kirk",Data!$J:$J,"Transfer",Data!$C:$C,A57))</f>
        <v/>
      </c>
      <c r="E57" t="str">
        <f>IF(A57="","",COUNTIFS(Data!$I:$I,"Justin",Data!$J:$J,"Onboarded",Data!$C:$C,A57))</f>
        <v/>
      </c>
      <c r="F57" t="str">
        <f>IF(A57="","",COUNTIFS(Data!$I:$I,"Justin",Data!$J:$J,"Referral",Data!$C:$C,A57))</f>
        <v/>
      </c>
      <c r="G57" t="str">
        <f>IF(A57="","",COUNTIFS(Data!$I:$I,"Justin",Data!$J:$J,"Transfer",Data!$C:$C,A57))</f>
        <v/>
      </c>
      <c r="H57" t="str">
        <f>IF(A57="","",COUNTIFS(Data!$I:$I,"Reyna",Data!$J:$J,"Onboarded",Data!$C:$C,A57))</f>
        <v/>
      </c>
      <c r="I57" t="str">
        <f>IF(A57="","",COUNTIFS(Data!$I:$I,"Reyna",Data!$J:$J,"Referral",Data!$C:$C,A57))</f>
        <v/>
      </c>
      <c r="J57" t="str">
        <f>IF(A57="","",COUNTIFS(Data!$I:$I,"Reyna",Data!$J:$J,"Transfer",Data!$C:$C,A57))</f>
        <v/>
      </c>
      <c r="K57" t="str">
        <f t="shared" si="1"/>
        <v/>
      </c>
    </row>
    <row r="58" spans="2:11" x14ac:dyDescent="0.25">
      <c r="B58" t="str">
        <f>IF(A58="","",COUNTIFS(Data!$I:$I,"Kirk",Data!$J:$J,"Onboarded",Data!$C:$C,A58))</f>
        <v/>
      </c>
      <c r="C58" t="str">
        <f>IF(A58="","",COUNTIFS(Data!$I:$I,"Kirk",Data!$J:$J,"Referral",Data!$C:$C,A58))</f>
        <v/>
      </c>
      <c r="D58" t="str">
        <f>IF(A58="","",COUNTIFS(Data!$I:$I,"Kirk",Data!$J:$J,"Transfer",Data!$C:$C,A58))</f>
        <v/>
      </c>
      <c r="E58" t="str">
        <f>IF(A58="","",COUNTIFS(Data!$I:$I,"Justin",Data!$J:$J,"Onboarded",Data!$C:$C,A58))</f>
        <v/>
      </c>
      <c r="F58" t="str">
        <f>IF(A58="","",COUNTIFS(Data!$I:$I,"Justin",Data!$J:$J,"Referral",Data!$C:$C,A58))</f>
        <v/>
      </c>
      <c r="G58" t="str">
        <f>IF(A58="","",COUNTIFS(Data!$I:$I,"Justin",Data!$J:$J,"Transfer",Data!$C:$C,A58))</f>
        <v/>
      </c>
      <c r="H58" t="str">
        <f>IF(A58="","",COUNTIFS(Data!$I:$I,"Reyna",Data!$J:$J,"Onboarded",Data!$C:$C,A58))</f>
        <v/>
      </c>
      <c r="I58" t="str">
        <f>IF(A58="","",COUNTIFS(Data!$I:$I,"Reyna",Data!$J:$J,"Referral",Data!$C:$C,A58))</f>
        <v/>
      </c>
      <c r="J58" t="str">
        <f>IF(A58="","",COUNTIFS(Data!$I:$I,"Reyna",Data!$J:$J,"Transfer",Data!$C:$C,A58))</f>
        <v/>
      </c>
      <c r="K58" t="str">
        <f t="shared" si="1"/>
        <v/>
      </c>
    </row>
    <row r="59" spans="2:11" x14ac:dyDescent="0.25">
      <c r="B59" t="str">
        <f>IF(A59="","",COUNTIFS(Data!$I:$I,"Kirk",Data!$J:$J,"Onboarded",Data!$C:$C,A59))</f>
        <v/>
      </c>
      <c r="C59" t="str">
        <f>IF(A59="","",COUNTIFS(Data!$I:$I,"Kirk",Data!$J:$J,"Referral",Data!$C:$C,A59))</f>
        <v/>
      </c>
      <c r="D59" t="str">
        <f>IF(A59="","",COUNTIFS(Data!$I:$I,"Kirk",Data!$J:$J,"Transfer",Data!$C:$C,A59))</f>
        <v/>
      </c>
      <c r="E59" t="str">
        <f>IF(A59="","",COUNTIFS(Data!$I:$I,"Justin",Data!$J:$J,"Onboarded",Data!$C:$C,A59))</f>
        <v/>
      </c>
      <c r="F59" t="str">
        <f>IF(A59="","",COUNTIFS(Data!$I:$I,"Justin",Data!$J:$J,"Referral",Data!$C:$C,A59))</f>
        <v/>
      </c>
      <c r="G59" t="str">
        <f>IF(A59="","",COUNTIFS(Data!$I:$I,"Justin",Data!$J:$J,"Transfer",Data!$C:$C,A59))</f>
        <v/>
      </c>
      <c r="H59" t="str">
        <f>IF(A59="","",COUNTIFS(Data!$I:$I,"Reyna",Data!$J:$J,"Onboarded",Data!$C:$C,A59))</f>
        <v/>
      </c>
      <c r="I59" t="str">
        <f>IF(A59="","",COUNTIFS(Data!$I:$I,"Reyna",Data!$J:$J,"Referral",Data!$C:$C,A59))</f>
        <v/>
      </c>
      <c r="J59" t="str">
        <f>IF(A59="","",COUNTIFS(Data!$I:$I,"Reyna",Data!$J:$J,"Transfer",Data!$C:$C,A59))</f>
        <v/>
      </c>
      <c r="K59" t="str">
        <f t="shared" si="1"/>
        <v/>
      </c>
    </row>
    <row r="60" spans="2:11" x14ac:dyDescent="0.25">
      <c r="B60" t="str">
        <f>IF(A60="","",COUNTIFS(Data!$I:$I,"Kirk",Data!$J:$J,"Onboarded",Data!$C:$C,A60))</f>
        <v/>
      </c>
      <c r="C60" t="str">
        <f>IF(A60="","",COUNTIFS(Data!$I:$I,"Kirk",Data!$J:$J,"Referral",Data!$C:$C,A60))</f>
        <v/>
      </c>
      <c r="D60" t="str">
        <f>IF(A60="","",COUNTIFS(Data!$I:$I,"Kirk",Data!$J:$J,"Transfer",Data!$C:$C,A60))</f>
        <v/>
      </c>
      <c r="E60" t="str">
        <f>IF(A60="","",COUNTIFS(Data!$I:$I,"Justin",Data!$J:$J,"Onboarded",Data!$C:$C,A60))</f>
        <v/>
      </c>
      <c r="F60" t="str">
        <f>IF(A60="","",COUNTIFS(Data!$I:$I,"Justin",Data!$J:$J,"Referral",Data!$C:$C,A60))</f>
        <v/>
      </c>
      <c r="G60" t="str">
        <f>IF(A60="","",COUNTIFS(Data!$I:$I,"Justin",Data!$J:$J,"Transfer",Data!$C:$C,A60))</f>
        <v/>
      </c>
      <c r="H60" t="str">
        <f>IF(A60="","",COUNTIFS(Data!$I:$I,"Reyna",Data!$J:$J,"Onboarded",Data!$C:$C,A60))</f>
        <v/>
      </c>
      <c r="I60" t="str">
        <f>IF(A60="","",COUNTIFS(Data!$I:$I,"Reyna",Data!$J:$J,"Referral",Data!$C:$C,A60))</f>
        <v/>
      </c>
      <c r="J60" t="str">
        <f>IF(A60="","",COUNTIFS(Data!$I:$I,"Reyna",Data!$J:$J,"Transfer",Data!$C:$C,A60))</f>
        <v/>
      </c>
      <c r="K60" t="str">
        <f t="shared" si="1"/>
        <v/>
      </c>
    </row>
    <row r="61" spans="2:11" x14ac:dyDescent="0.25">
      <c r="B61" t="str">
        <f>IF(A61="","",COUNTIFS(Data!$I:$I,"Kirk",Data!$J:$J,"Onboarded",Data!$C:$C,A61))</f>
        <v/>
      </c>
      <c r="C61" t="str">
        <f>IF(A61="","",COUNTIFS(Data!$I:$I,"Kirk",Data!$J:$J,"Referral",Data!$C:$C,A61))</f>
        <v/>
      </c>
      <c r="D61" t="str">
        <f>IF(A61="","",COUNTIFS(Data!$I:$I,"Kirk",Data!$J:$J,"Transfer",Data!$C:$C,A61))</f>
        <v/>
      </c>
      <c r="E61" t="str">
        <f>IF(A61="","",COUNTIFS(Data!$I:$I,"Justin",Data!$J:$J,"Onboarded",Data!$C:$C,A61))</f>
        <v/>
      </c>
      <c r="F61" t="str">
        <f>IF(A61="","",COUNTIFS(Data!$I:$I,"Justin",Data!$J:$J,"Referral",Data!$C:$C,A61))</f>
        <v/>
      </c>
      <c r="G61" t="str">
        <f>IF(A61="","",COUNTIFS(Data!$I:$I,"Justin",Data!$J:$J,"Transfer",Data!$C:$C,A61))</f>
        <v/>
      </c>
      <c r="H61" t="str">
        <f>IF(A61="","",COUNTIFS(Data!$I:$I,"Reyna",Data!$J:$J,"Onboarded",Data!$C:$C,A61))</f>
        <v/>
      </c>
      <c r="I61" t="str">
        <f>IF(A61="","",COUNTIFS(Data!$I:$I,"Reyna",Data!$J:$J,"Referral",Data!$C:$C,A61))</f>
        <v/>
      </c>
      <c r="J61" t="str">
        <f>IF(A61="","",COUNTIFS(Data!$I:$I,"Reyna",Data!$J:$J,"Transfer",Data!$C:$C,A61))</f>
        <v/>
      </c>
      <c r="K61" t="str">
        <f t="shared" si="1"/>
        <v/>
      </c>
    </row>
    <row r="62" spans="2:11" x14ac:dyDescent="0.25">
      <c r="B62" t="str">
        <f>IF(A62="","",COUNTIFS(Data!$I:$I,"Kirk",Data!$J:$J,"Onboarded",Data!$C:$C,A62))</f>
        <v/>
      </c>
      <c r="C62" t="str">
        <f>IF(A62="","",COUNTIFS(Data!$I:$I,"Kirk",Data!$J:$J,"Referral",Data!$C:$C,A62))</f>
        <v/>
      </c>
      <c r="D62" t="str">
        <f>IF(A62="","",COUNTIFS(Data!$I:$I,"Kirk",Data!$J:$J,"Transfer",Data!$C:$C,A62))</f>
        <v/>
      </c>
      <c r="E62" t="str">
        <f>IF(A62="","",COUNTIFS(Data!$I:$I,"Justin",Data!$J:$J,"Onboarded",Data!$C:$C,A62))</f>
        <v/>
      </c>
      <c r="F62" t="str">
        <f>IF(A62="","",COUNTIFS(Data!$I:$I,"Justin",Data!$J:$J,"Referral",Data!$C:$C,A62))</f>
        <v/>
      </c>
      <c r="G62" t="str">
        <f>IF(A62="","",COUNTIFS(Data!$I:$I,"Justin",Data!$J:$J,"Transfer",Data!$C:$C,A62))</f>
        <v/>
      </c>
      <c r="H62" t="str">
        <f>IF(A62="","",COUNTIFS(Data!$I:$I,"Reyna",Data!$J:$J,"Onboarded",Data!$C:$C,A62))</f>
        <v/>
      </c>
      <c r="I62" t="str">
        <f>IF(A62="","",COUNTIFS(Data!$I:$I,"Reyna",Data!$J:$J,"Referral",Data!$C:$C,A62))</f>
        <v/>
      </c>
      <c r="J62" t="str">
        <f>IF(A62="","",COUNTIFS(Data!$I:$I,"Reyna",Data!$J:$J,"Transfer",Data!$C:$C,A62))</f>
        <v/>
      </c>
      <c r="K62" t="str">
        <f t="shared" si="1"/>
        <v/>
      </c>
    </row>
    <row r="63" spans="2:11" x14ac:dyDescent="0.25">
      <c r="B63" t="str">
        <f>IF(A63="","",COUNTIFS(Data!$I:$I,"Kirk",Data!$J:$J,"Onboarded",Data!$C:$C,A63))</f>
        <v/>
      </c>
      <c r="C63" t="str">
        <f>IF(A63="","",COUNTIFS(Data!$I:$I,"Kirk",Data!$J:$J,"Referral",Data!$C:$C,A63))</f>
        <v/>
      </c>
      <c r="D63" t="str">
        <f>IF(A63="","",COUNTIFS(Data!$I:$I,"Kirk",Data!$J:$J,"Transfer",Data!$C:$C,A63))</f>
        <v/>
      </c>
      <c r="E63" t="str">
        <f>IF(A63="","",COUNTIFS(Data!$I:$I,"Justin",Data!$J:$J,"Onboarded",Data!$C:$C,A63))</f>
        <v/>
      </c>
      <c r="F63" t="str">
        <f>IF(A63="","",COUNTIFS(Data!$I:$I,"Justin",Data!$J:$J,"Referral",Data!$C:$C,A63))</f>
        <v/>
      </c>
      <c r="G63" t="str">
        <f>IF(A63="","",COUNTIFS(Data!$I:$I,"Justin",Data!$J:$J,"Transfer",Data!$C:$C,A63))</f>
        <v/>
      </c>
      <c r="H63" t="str">
        <f>IF(A63="","",COUNTIFS(Data!$I:$I,"Reyna",Data!$J:$J,"Onboarded",Data!$C:$C,A63))</f>
        <v/>
      </c>
      <c r="I63" t="str">
        <f>IF(A63="","",COUNTIFS(Data!$I:$I,"Reyna",Data!$J:$J,"Referral",Data!$C:$C,A63))</f>
        <v/>
      </c>
      <c r="J63" t="str">
        <f>IF(A63="","",COUNTIFS(Data!$I:$I,"Reyna",Data!$J:$J,"Transfer",Data!$C:$C,A63))</f>
        <v/>
      </c>
      <c r="K63" t="str">
        <f t="shared" si="1"/>
        <v/>
      </c>
    </row>
    <row r="64" spans="2:11" x14ac:dyDescent="0.25">
      <c r="B64" t="str">
        <f>IF(A64="","",COUNTIFS(Data!$I:$I,"Kirk",Data!$J:$J,"Onboarded",Data!$C:$C,A64))</f>
        <v/>
      </c>
      <c r="C64" t="str">
        <f>IF(A64="","",COUNTIFS(Data!$I:$I,"Kirk",Data!$J:$J,"Referral",Data!$C:$C,A64))</f>
        <v/>
      </c>
      <c r="D64" t="str">
        <f>IF(A64="","",COUNTIFS(Data!$I:$I,"Kirk",Data!$J:$J,"Transfer",Data!$C:$C,A64))</f>
        <v/>
      </c>
      <c r="E64" t="str">
        <f>IF(A64="","",COUNTIFS(Data!$I:$I,"Justin",Data!$J:$J,"Onboarded",Data!$C:$C,A64))</f>
        <v/>
      </c>
      <c r="F64" t="str">
        <f>IF(A64="","",COUNTIFS(Data!$I:$I,"Justin",Data!$J:$J,"Referral",Data!$C:$C,A64))</f>
        <v/>
      </c>
      <c r="G64" t="str">
        <f>IF(A64="","",COUNTIFS(Data!$I:$I,"Justin",Data!$J:$J,"Transfer",Data!$C:$C,A64))</f>
        <v/>
      </c>
      <c r="H64" t="str">
        <f>IF(A64="","",COUNTIFS(Data!$I:$I,"Reyna",Data!$J:$J,"Onboarded",Data!$C:$C,A64))</f>
        <v/>
      </c>
      <c r="I64" t="str">
        <f>IF(A64="","",COUNTIFS(Data!$I:$I,"Reyna",Data!$J:$J,"Referral",Data!$C:$C,A64))</f>
        <v/>
      </c>
      <c r="J64" t="str">
        <f>IF(A64="","",COUNTIFS(Data!$I:$I,"Reyna",Data!$J:$J,"Transfer",Data!$C:$C,A64))</f>
        <v/>
      </c>
      <c r="K64" t="str">
        <f t="shared" si="1"/>
        <v/>
      </c>
    </row>
    <row r="65" spans="2:11" x14ac:dyDescent="0.25">
      <c r="B65" t="str">
        <f>IF(A65="","",COUNTIFS(Data!$I:$I,"Kirk",Data!$J:$J,"Onboarded",Data!$C:$C,A65))</f>
        <v/>
      </c>
      <c r="C65" t="str">
        <f>IF(A65="","",COUNTIFS(Data!$I:$I,"Kirk",Data!$J:$J,"Referral",Data!$C:$C,A65))</f>
        <v/>
      </c>
      <c r="D65" t="str">
        <f>IF(A65="","",COUNTIFS(Data!$I:$I,"Kirk",Data!$J:$J,"Transfer",Data!$C:$C,A65))</f>
        <v/>
      </c>
      <c r="E65" t="str">
        <f>IF(A65="","",COUNTIFS(Data!$I:$I,"Justin",Data!$J:$J,"Onboarded",Data!$C:$C,A65))</f>
        <v/>
      </c>
      <c r="F65" t="str">
        <f>IF(A65="","",COUNTIFS(Data!$I:$I,"Justin",Data!$J:$J,"Referral",Data!$C:$C,A65))</f>
        <v/>
      </c>
      <c r="G65" t="str">
        <f>IF(A65="","",COUNTIFS(Data!$I:$I,"Justin",Data!$J:$J,"Transfer",Data!$C:$C,A65))</f>
        <v/>
      </c>
      <c r="H65" t="str">
        <f>IF(A65="","",COUNTIFS(Data!$I:$I,"Reyna",Data!$J:$J,"Onboarded",Data!$C:$C,A65))</f>
        <v/>
      </c>
      <c r="I65" t="str">
        <f>IF(A65="","",COUNTIFS(Data!$I:$I,"Reyna",Data!$J:$J,"Referral",Data!$C:$C,A65))</f>
        <v/>
      </c>
      <c r="J65" t="str">
        <f>IF(A65="","",COUNTIFS(Data!$I:$I,"Reyna",Data!$J:$J,"Transfer",Data!$C:$C,A65))</f>
        <v/>
      </c>
      <c r="K65" t="str">
        <f t="shared" si="1"/>
        <v/>
      </c>
    </row>
    <row r="66" spans="2:11" x14ac:dyDescent="0.25">
      <c r="B66" t="str">
        <f>IF(A66="","",COUNTIFS(Data!$I:$I,"Kirk",Data!$J:$J,"Onboarded",Data!$C:$C,A66))</f>
        <v/>
      </c>
      <c r="C66" t="str">
        <f>IF(A66="","",COUNTIFS(Data!$I:$I,"Kirk",Data!$J:$J,"Referral",Data!$C:$C,A66))</f>
        <v/>
      </c>
      <c r="D66" t="str">
        <f>IF(A66="","",COUNTIFS(Data!$I:$I,"Kirk",Data!$J:$J,"Transfer",Data!$C:$C,A66))</f>
        <v/>
      </c>
      <c r="E66" t="str">
        <f>IF(A66="","",COUNTIFS(Data!$I:$I,"Justin",Data!$J:$J,"Onboarded",Data!$C:$C,A66))</f>
        <v/>
      </c>
      <c r="F66" t="str">
        <f>IF(A66="","",COUNTIFS(Data!$I:$I,"Justin",Data!$J:$J,"Referral",Data!$C:$C,A66))</f>
        <v/>
      </c>
      <c r="G66" t="str">
        <f>IF(A66="","",COUNTIFS(Data!$I:$I,"Justin",Data!$J:$J,"Transfer",Data!$C:$C,A66))</f>
        <v/>
      </c>
      <c r="H66" t="str">
        <f>IF(A66="","",COUNTIFS(Data!$I:$I,"Reyna",Data!$J:$J,"Onboarded",Data!$C:$C,A66))</f>
        <v/>
      </c>
      <c r="I66" t="str">
        <f>IF(A66="","",COUNTIFS(Data!$I:$I,"Reyna",Data!$J:$J,"Referral",Data!$C:$C,A66))</f>
        <v/>
      </c>
      <c r="J66" t="str">
        <f>IF(A66="","",COUNTIFS(Data!$I:$I,"Reyna",Data!$J:$J,"Transfer",Data!$C:$C,A66))</f>
        <v/>
      </c>
      <c r="K66" t="str">
        <f t="shared" si="1"/>
        <v/>
      </c>
    </row>
    <row r="67" spans="2:11" x14ac:dyDescent="0.25">
      <c r="B67" t="str">
        <f>IF(A67="","",COUNTIFS(Data!$I:$I,"Kirk",Data!$J:$J,"Onboarded",Data!$C:$C,A67))</f>
        <v/>
      </c>
      <c r="C67" t="str">
        <f>IF(A67="","",COUNTIFS(Data!$I:$I,"Kirk",Data!$J:$J,"Referral",Data!$C:$C,A67))</f>
        <v/>
      </c>
      <c r="D67" t="str">
        <f>IF(A67="","",COUNTIFS(Data!$I:$I,"Kirk",Data!$J:$J,"Transfer",Data!$C:$C,A67))</f>
        <v/>
      </c>
      <c r="E67" t="str">
        <f>IF(A67="","",COUNTIFS(Data!$I:$I,"Justin",Data!$J:$J,"Onboarded",Data!$C:$C,A67))</f>
        <v/>
      </c>
      <c r="F67" t="str">
        <f>IF(A67="","",COUNTIFS(Data!$I:$I,"Justin",Data!$J:$J,"Referral",Data!$C:$C,A67))</f>
        <v/>
      </c>
      <c r="G67" t="str">
        <f>IF(A67="","",COUNTIFS(Data!$I:$I,"Justin",Data!$J:$J,"Transfer",Data!$C:$C,A67))</f>
        <v/>
      </c>
      <c r="H67" t="str">
        <f>IF(A67="","",COUNTIFS(Data!$I:$I,"Reyna",Data!$J:$J,"Onboarded",Data!$C:$C,A67))</f>
        <v/>
      </c>
      <c r="I67" t="str">
        <f>IF(A67="","",COUNTIFS(Data!$I:$I,"Reyna",Data!$J:$J,"Referral",Data!$C:$C,A67))</f>
        <v/>
      </c>
      <c r="J67" t="str">
        <f>IF(A67="","",COUNTIFS(Data!$I:$I,"Reyna",Data!$J:$J,"Transfer",Data!$C:$C,A67))</f>
        <v/>
      </c>
      <c r="K67" t="str">
        <f t="shared" si="1"/>
        <v/>
      </c>
    </row>
    <row r="68" spans="2:11" x14ac:dyDescent="0.25">
      <c r="B68" t="str">
        <f>IF(A68="","",COUNTIFS(Data!$I:$I,"Kirk",Data!$J:$J,"Onboarded",Data!$C:$C,A68))</f>
        <v/>
      </c>
      <c r="C68" t="str">
        <f>IF(A68="","",COUNTIFS(Data!$I:$I,"Kirk",Data!$J:$J,"Referral",Data!$C:$C,A68))</f>
        <v/>
      </c>
      <c r="D68" t="str">
        <f>IF(A68="","",COUNTIFS(Data!$I:$I,"Kirk",Data!$J:$J,"Transfer",Data!$C:$C,A68))</f>
        <v/>
      </c>
      <c r="E68" t="str">
        <f>IF(A68="","",COUNTIFS(Data!$I:$I,"Justin",Data!$J:$J,"Onboarded",Data!$C:$C,A68))</f>
        <v/>
      </c>
      <c r="F68" t="str">
        <f>IF(A68="","",COUNTIFS(Data!$I:$I,"Justin",Data!$J:$J,"Referral",Data!$C:$C,A68))</f>
        <v/>
      </c>
      <c r="G68" t="str">
        <f>IF(A68="","",COUNTIFS(Data!$I:$I,"Justin",Data!$J:$J,"Transfer",Data!$C:$C,A68))</f>
        <v/>
      </c>
      <c r="H68" t="str">
        <f>IF(A68="","",COUNTIFS(Data!$I:$I,"Reyna",Data!$J:$J,"Onboarded",Data!$C:$C,A68))</f>
        <v/>
      </c>
      <c r="I68" t="str">
        <f>IF(A68="","",COUNTIFS(Data!$I:$I,"Reyna",Data!$J:$J,"Referral",Data!$C:$C,A68))</f>
        <v/>
      </c>
      <c r="J68" t="str">
        <f>IF(A68="","",COUNTIFS(Data!$I:$I,"Reyna",Data!$J:$J,"Transfer",Data!$C:$C,A68))</f>
        <v/>
      </c>
      <c r="K68" t="str">
        <f t="shared" si="1"/>
        <v/>
      </c>
    </row>
    <row r="69" spans="2:11" x14ac:dyDescent="0.25">
      <c r="B69" t="str">
        <f>IF(A69="","",COUNTIFS(Data!$I:$I,"Kirk",Data!$J:$J,"Onboarded",Data!$C:$C,A69))</f>
        <v/>
      </c>
      <c r="C69" t="str">
        <f>IF(A69="","",COUNTIFS(Data!$I:$I,"Kirk",Data!$J:$J,"Referral",Data!$C:$C,A69))</f>
        <v/>
      </c>
      <c r="D69" t="str">
        <f>IF(A69="","",COUNTIFS(Data!$I:$I,"Kirk",Data!$J:$J,"Transfer",Data!$C:$C,A69))</f>
        <v/>
      </c>
      <c r="E69" t="str">
        <f>IF(A69="","",COUNTIFS(Data!$I:$I,"Justin",Data!$J:$J,"Onboarded",Data!$C:$C,A69))</f>
        <v/>
      </c>
      <c r="F69" t="str">
        <f>IF(A69="","",COUNTIFS(Data!$I:$I,"Justin",Data!$J:$J,"Referral",Data!$C:$C,A69))</f>
        <v/>
      </c>
      <c r="G69" t="str">
        <f>IF(A69="","",COUNTIFS(Data!$I:$I,"Justin",Data!$J:$J,"Transfer",Data!$C:$C,A69))</f>
        <v/>
      </c>
      <c r="H69" t="str">
        <f>IF(A69="","",COUNTIFS(Data!$I:$I,"Reyna",Data!$J:$J,"Onboarded",Data!$C:$C,A69))</f>
        <v/>
      </c>
      <c r="I69" t="str">
        <f>IF(A69="","",COUNTIFS(Data!$I:$I,"Reyna",Data!$J:$J,"Referral",Data!$C:$C,A69))</f>
        <v/>
      </c>
      <c r="J69" t="str">
        <f>IF(A69="","",COUNTIFS(Data!$I:$I,"Reyna",Data!$J:$J,"Transfer",Data!$C:$C,A69))</f>
        <v/>
      </c>
      <c r="K69" t="str">
        <f t="shared" si="1"/>
        <v/>
      </c>
    </row>
    <row r="70" spans="2:11" x14ac:dyDescent="0.25">
      <c r="B70" t="str">
        <f>IF(A70="","",COUNTIFS(Data!$I:$I,"Kirk",Data!$J:$J,"Onboarded",Data!$C:$C,A70))</f>
        <v/>
      </c>
      <c r="C70" t="str">
        <f>IF(A70="","",COUNTIFS(Data!$I:$I,"Kirk",Data!$J:$J,"Referral",Data!$C:$C,A70))</f>
        <v/>
      </c>
      <c r="D70" t="str">
        <f>IF(A70="","",COUNTIFS(Data!$I:$I,"Kirk",Data!$J:$J,"Transfer",Data!$C:$C,A70))</f>
        <v/>
      </c>
      <c r="E70" t="str">
        <f>IF(A70="","",COUNTIFS(Data!$I:$I,"Justin",Data!$J:$J,"Onboarded",Data!$C:$C,A70))</f>
        <v/>
      </c>
      <c r="F70" t="str">
        <f>IF(A70="","",COUNTIFS(Data!$I:$I,"Justin",Data!$J:$J,"Referral",Data!$C:$C,A70))</f>
        <v/>
      </c>
      <c r="G70" t="str">
        <f>IF(A70="","",COUNTIFS(Data!$I:$I,"Justin",Data!$J:$J,"Transfer",Data!$C:$C,A70))</f>
        <v/>
      </c>
      <c r="H70" t="str">
        <f>IF(A70="","",COUNTIFS(Data!$I:$I,"Reyna",Data!$J:$J,"Onboarded",Data!$C:$C,A70))</f>
        <v/>
      </c>
      <c r="I70" t="str">
        <f>IF(A70="","",COUNTIFS(Data!$I:$I,"Reyna",Data!$J:$J,"Referral",Data!$C:$C,A70))</f>
        <v/>
      </c>
      <c r="J70" t="str">
        <f>IF(A70="","",COUNTIFS(Data!$I:$I,"Reyna",Data!$J:$J,"Transfer",Data!$C:$C,A70))</f>
        <v/>
      </c>
      <c r="K70" t="str">
        <f t="shared" si="1"/>
        <v/>
      </c>
    </row>
    <row r="71" spans="2:11" x14ac:dyDescent="0.25">
      <c r="B71" t="str">
        <f>IF(A71="","",COUNTIFS(Data!$I:$I,"Kirk",Data!$J:$J,"Onboarded",Data!$C:$C,A71))</f>
        <v/>
      </c>
      <c r="C71" t="str">
        <f>IF(A71="","",COUNTIFS(Data!$I:$I,"Kirk",Data!$J:$J,"Referral",Data!$C:$C,A71))</f>
        <v/>
      </c>
      <c r="D71" t="str">
        <f>IF(A71="","",COUNTIFS(Data!$I:$I,"Kirk",Data!$J:$J,"Transfer",Data!$C:$C,A71))</f>
        <v/>
      </c>
      <c r="E71" t="str">
        <f>IF(A71="","",COUNTIFS(Data!$I:$I,"Justin",Data!$J:$J,"Onboarded",Data!$C:$C,A71))</f>
        <v/>
      </c>
      <c r="F71" t="str">
        <f>IF(A71="","",COUNTIFS(Data!$I:$I,"Justin",Data!$J:$J,"Referral",Data!$C:$C,A71))</f>
        <v/>
      </c>
      <c r="G71" t="str">
        <f>IF(A71="","",COUNTIFS(Data!$I:$I,"Justin",Data!$J:$J,"Transfer",Data!$C:$C,A71))</f>
        <v/>
      </c>
      <c r="H71" t="str">
        <f>IF(A71="","",COUNTIFS(Data!$I:$I,"Reyna",Data!$J:$J,"Onboarded",Data!$C:$C,A71))</f>
        <v/>
      </c>
      <c r="I71" t="str">
        <f>IF(A71="","",COUNTIFS(Data!$I:$I,"Reyna",Data!$J:$J,"Referral",Data!$C:$C,A71))</f>
        <v/>
      </c>
      <c r="J71" t="str">
        <f>IF(A71="","",COUNTIFS(Data!$I:$I,"Reyna",Data!$J:$J,"Transfer",Data!$C:$C,A71))</f>
        <v/>
      </c>
      <c r="K71" t="str">
        <f t="shared" si="1"/>
        <v/>
      </c>
    </row>
    <row r="72" spans="2:11" x14ac:dyDescent="0.25">
      <c r="B72" t="str">
        <f>IF(A72="","",COUNTIFS(Data!$I:$I,"Kirk",Data!$J:$J,"Onboarded",Data!$C:$C,A72))</f>
        <v/>
      </c>
      <c r="C72" t="str">
        <f>IF(A72="","",COUNTIFS(Data!$I:$I,"Kirk",Data!$J:$J,"Referral",Data!$C:$C,A72))</f>
        <v/>
      </c>
      <c r="D72" t="str">
        <f>IF(A72="","",COUNTIFS(Data!$I:$I,"Kirk",Data!$J:$J,"Transfer",Data!$C:$C,A72))</f>
        <v/>
      </c>
      <c r="E72" t="str">
        <f>IF(A72="","",COUNTIFS(Data!$I:$I,"Justin",Data!$J:$J,"Onboarded",Data!$C:$C,A72))</f>
        <v/>
      </c>
      <c r="F72" t="str">
        <f>IF(A72="","",COUNTIFS(Data!$I:$I,"Justin",Data!$J:$J,"Referral",Data!$C:$C,A72))</f>
        <v/>
      </c>
      <c r="G72" t="str">
        <f>IF(A72="","",COUNTIFS(Data!$I:$I,"Justin",Data!$J:$J,"Transfer",Data!$C:$C,A72))</f>
        <v/>
      </c>
      <c r="H72" t="str">
        <f>IF(A72="","",COUNTIFS(Data!$I:$I,"Reyna",Data!$J:$J,"Onboarded",Data!$C:$C,A72))</f>
        <v/>
      </c>
      <c r="I72" t="str">
        <f>IF(A72="","",COUNTIFS(Data!$I:$I,"Reyna",Data!$J:$J,"Referral",Data!$C:$C,A72))</f>
        <v/>
      </c>
      <c r="J72" t="str">
        <f>IF(A72="","",COUNTIFS(Data!$I:$I,"Reyna",Data!$J:$J,"Transfer",Data!$C:$C,A72))</f>
        <v/>
      </c>
      <c r="K72" t="str">
        <f t="shared" si="1"/>
        <v/>
      </c>
    </row>
    <row r="73" spans="2:11" x14ac:dyDescent="0.25">
      <c r="B73" t="str">
        <f>IF(A73="","",COUNTIFS(Data!$I:$I,"Kirk",Data!$J:$J,"Onboarded",Data!$C:$C,A73))</f>
        <v/>
      </c>
      <c r="C73" t="str">
        <f>IF(A73="","",COUNTIFS(Data!$I:$I,"Kirk",Data!$J:$J,"Referral",Data!$C:$C,A73))</f>
        <v/>
      </c>
      <c r="D73" t="str">
        <f>IF(A73="","",COUNTIFS(Data!$I:$I,"Kirk",Data!$J:$J,"Transfer",Data!$C:$C,A73))</f>
        <v/>
      </c>
      <c r="E73" t="str">
        <f>IF(A73="","",COUNTIFS(Data!$I:$I,"Justin",Data!$J:$J,"Onboarded",Data!$C:$C,A73))</f>
        <v/>
      </c>
      <c r="F73" t="str">
        <f>IF(A73="","",COUNTIFS(Data!$I:$I,"Justin",Data!$J:$J,"Referral",Data!$C:$C,A73))</f>
        <v/>
      </c>
      <c r="G73" t="str">
        <f>IF(A73="","",COUNTIFS(Data!$I:$I,"Justin",Data!$J:$J,"Transfer",Data!$C:$C,A73))</f>
        <v/>
      </c>
      <c r="H73" t="str">
        <f>IF(A73="","",COUNTIFS(Data!$I:$I,"Reyna",Data!$J:$J,"Onboarded",Data!$C:$C,A73))</f>
        <v/>
      </c>
      <c r="I73" t="str">
        <f>IF(A73="","",COUNTIFS(Data!$I:$I,"Reyna",Data!$J:$J,"Referral",Data!$C:$C,A73))</f>
        <v/>
      </c>
      <c r="J73" t="str">
        <f>IF(A73="","",COUNTIFS(Data!$I:$I,"Reyna",Data!$J:$J,"Transfer",Data!$C:$C,A73))</f>
        <v/>
      </c>
      <c r="K73" t="str">
        <f t="shared" si="1"/>
        <v/>
      </c>
    </row>
    <row r="74" spans="2:11" x14ac:dyDescent="0.25">
      <c r="B74" t="str">
        <f>IF(A74="","",COUNTIFS(Data!$I:$I,"Kirk",Data!$J:$J,"Onboarded",Data!$C:$C,A74))</f>
        <v/>
      </c>
      <c r="C74" t="str">
        <f>IF(A74="","",COUNTIFS(Data!$I:$I,"Kirk",Data!$J:$J,"Referral",Data!$C:$C,A74))</f>
        <v/>
      </c>
      <c r="D74" t="str">
        <f>IF(A74="","",COUNTIFS(Data!$I:$I,"Kirk",Data!$J:$J,"Transfer",Data!$C:$C,A74))</f>
        <v/>
      </c>
      <c r="E74" t="str">
        <f>IF(A74="","",COUNTIFS(Data!$I:$I,"Justin",Data!$J:$J,"Onboarded",Data!$C:$C,A74))</f>
        <v/>
      </c>
      <c r="F74" t="str">
        <f>IF(A74="","",COUNTIFS(Data!$I:$I,"Justin",Data!$J:$J,"Referral",Data!$C:$C,A74))</f>
        <v/>
      </c>
      <c r="G74" t="str">
        <f>IF(A74="","",COUNTIFS(Data!$I:$I,"Justin",Data!$J:$J,"Transfer",Data!$C:$C,A74))</f>
        <v/>
      </c>
      <c r="H74" t="str">
        <f>IF(A74="","",COUNTIFS(Data!$I:$I,"Reyna",Data!$J:$J,"Onboarded",Data!$C:$C,A74))</f>
        <v/>
      </c>
      <c r="I74" t="str">
        <f>IF(A74="","",COUNTIFS(Data!$I:$I,"Reyna",Data!$J:$J,"Referral",Data!$C:$C,A74))</f>
        <v/>
      </c>
      <c r="J74" t="str">
        <f>IF(A74="","",COUNTIFS(Data!$I:$I,"Reyna",Data!$J:$J,"Transfer",Data!$C:$C,A74))</f>
        <v/>
      </c>
      <c r="K74" t="str">
        <f t="shared" ref="K74:K105" si="2">IF(A74="","",SUM(B74:J74))</f>
        <v/>
      </c>
    </row>
    <row r="75" spans="2:11" x14ac:dyDescent="0.25">
      <c r="B75" t="str">
        <f>IF(A75="","",COUNTIFS(Data!$I:$I,"Kirk",Data!$J:$J,"Onboarded",Data!$C:$C,A75))</f>
        <v/>
      </c>
      <c r="C75" t="str">
        <f>IF(A75="","",COUNTIFS(Data!$I:$I,"Kirk",Data!$J:$J,"Referral",Data!$C:$C,A75))</f>
        <v/>
      </c>
      <c r="D75" t="str">
        <f>IF(A75="","",COUNTIFS(Data!$I:$I,"Kirk",Data!$J:$J,"Transfer",Data!$C:$C,A75))</f>
        <v/>
      </c>
      <c r="E75" t="str">
        <f>IF(A75="","",COUNTIFS(Data!$I:$I,"Justin",Data!$J:$J,"Onboarded",Data!$C:$C,A75))</f>
        <v/>
      </c>
      <c r="F75" t="str">
        <f>IF(A75="","",COUNTIFS(Data!$I:$I,"Justin",Data!$J:$J,"Referral",Data!$C:$C,A75))</f>
        <v/>
      </c>
      <c r="G75" t="str">
        <f>IF(A75="","",COUNTIFS(Data!$I:$I,"Justin",Data!$J:$J,"Transfer",Data!$C:$C,A75))</f>
        <v/>
      </c>
      <c r="H75" t="str">
        <f>IF(A75="","",COUNTIFS(Data!$I:$I,"Reyna",Data!$J:$J,"Onboarded",Data!$C:$C,A75))</f>
        <v/>
      </c>
      <c r="I75" t="str">
        <f>IF(A75="","",COUNTIFS(Data!$I:$I,"Reyna",Data!$J:$J,"Referral",Data!$C:$C,A75))</f>
        <v/>
      </c>
      <c r="J75" t="str">
        <f>IF(A75="","",COUNTIFS(Data!$I:$I,"Reyna",Data!$J:$J,"Transfer",Data!$C:$C,A75))</f>
        <v/>
      </c>
      <c r="K75" t="str">
        <f t="shared" si="2"/>
        <v/>
      </c>
    </row>
    <row r="76" spans="2:11" x14ac:dyDescent="0.25">
      <c r="B76" t="str">
        <f>IF(A76="","",COUNTIFS(Data!$I:$I,"Kirk",Data!$J:$J,"Onboarded",Data!$C:$C,A76))</f>
        <v/>
      </c>
      <c r="C76" t="str">
        <f>IF(A76="","",COUNTIFS(Data!$I:$I,"Kirk",Data!$J:$J,"Referral",Data!$C:$C,A76))</f>
        <v/>
      </c>
      <c r="D76" t="str">
        <f>IF(A76="","",COUNTIFS(Data!$I:$I,"Kirk",Data!$J:$J,"Transfer",Data!$C:$C,A76))</f>
        <v/>
      </c>
      <c r="E76" t="str">
        <f>IF(A76="","",COUNTIFS(Data!$I:$I,"Justin",Data!$J:$J,"Onboarded",Data!$C:$C,A76))</f>
        <v/>
      </c>
      <c r="F76" t="str">
        <f>IF(A76="","",COUNTIFS(Data!$I:$I,"Justin",Data!$J:$J,"Referral",Data!$C:$C,A76))</f>
        <v/>
      </c>
      <c r="G76" t="str">
        <f>IF(A76="","",COUNTIFS(Data!$I:$I,"Justin",Data!$J:$J,"Transfer",Data!$C:$C,A76))</f>
        <v/>
      </c>
      <c r="H76" t="str">
        <f>IF(A76="","",COUNTIFS(Data!$I:$I,"Reyna",Data!$J:$J,"Onboarded",Data!$C:$C,A76))</f>
        <v/>
      </c>
      <c r="I76" t="str">
        <f>IF(A76="","",COUNTIFS(Data!$I:$I,"Reyna",Data!$J:$J,"Referral",Data!$C:$C,A76))</f>
        <v/>
      </c>
      <c r="J76" t="str">
        <f>IF(A76="","",COUNTIFS(Data!$I:$I,"Reyna",Data!$J:$J,"Transfer",Data!$C:$C,A76))</f>
        <v/>
      </c>
      <c r="K76" t="str">
        <f t="shared" si="2"/>
        <v/>
      </c>
    </row>
    <row r="77" spans="2:11" x14ac:dyDescent="0.25">
      <c r="B77" t="str">
        <f>IF(A77="","",COUNTIFS(Data!$I:$I,"Kirk",Data!$J:$J,"Onboarded",Data!$C:$C,A77))</f>
        <v/>
      </c>
      <c r="C77" t="str">
        <f>IF(A77="","",COUNTIFS(Data!$I:$I,"Kirk",Data!$J:$J,"Referral",Data!$C:$C,A77))</f>
        <v/>
      </c>
      <c r="D77" t="str">
        <f>IF(A77="","",COUNTIFS(Data!$I:$I,"Kirk",Data!$J:$J,"Transfer",Data!$C:$C,A77))</f>
        <v/>
      </c>
      <c r="E77" t="str">
        <f>IF(A77="","",COUNTIFS(Data!$I:$I,"Justin",Data!$J:$J,"Onboarded",Data!$C:$C,A77))</f>
        <v/>
      </c>
      <c r="F77" t="str">
        <f>IF(A77="","",COUNTIFS(Data!$I:$I,"Justin",Data!$J:$J,"Referral",Data!$C:$C,A77))</f>
        <v/>
      </c>
      <c r="G77" t="str">
        <f>IF(A77="","",COUNTIFS(Data!$I:$I,"Justin",Data!$J:$J,"Transfer",Data!$C:$C,A77))</f>
        <v/>
      </c>
      <c r="H77" t="str">
        <f>IF(A77="","",COUNTIFS(Data!$I:$I,"Reyna",Data!$J:$J,"Onboarded",Data!$C:$C,A77))</f>
        <v/>
      </c>
      <c r="I77" t="str">
        <f>IF(A77="","",COUNTIFS(Data!$I:$I,"Reyna",Data!$J:$J,"Referral",Data!$C:$C,A77))</f>
        <v/>
      </c>
      <c r="J77" t="str">
        <f>IF(A77="","",COUNTIFS(Data!$I:$I,"Reyna",Data!$J:$J,"Transfer",Data!$C:$C,A77))</f>
        <v/>
      </c>
      <c r="K77" t="str">
        <f t="shared" si="2"/>
        <v/>
      </c>
    </row>
    <row r="78" spans="2:11" x14ac:dyDescent="0.25">
      <c r="B78" t="str">
        <f>IF(A78="","",COUNTIFS(Data!$I:$I,"Kirk",Data!$J:$J,"Onboarded",Data!$C:$C,A78))</f>
        <v/>
      </c>
      <c r="C78" t="str">
        <f>IF(A78="","",COUNTIFS(Data!$I:$I,"Kirk",Data!$J:$J,"Referral",Data!$C:$C,A78))</f>
        <v/>
      </c>
      <c r="D78" t="str">
        <f>IF(A78="","",COUNTIFS(Data!$I:$I,"Kirk",Data!$J:$J,"Transfer",Data!$C:$C,A78))</f>
        <v/>
      </c>
      <c r="E78" t="str">
        <f>IF(A78="","",COUNTIFS(Data!$I:$I,"Justin",Data!$J:$J,"Onboarded",Data!$C:$C,A78))</f>
        <v/>
      </c>
      <c r="F78" t="str">
        <f>IF(A78="","",COUNTIFS(Data!$I:$I,"Justin",Data!$J:$J,"Referral",Data!$C:$C,A78))</f>
        <v/>
      </c>
      <c r="G78" t="str">
        <f>IF(A78="","",COUNTIFS(Data!$I:$I,"Justin",Data!$J:$J,"Transfer",Data!$C:$C,A78))</f>
        <v/>
      </c>
      <c r="H78" t="str">
        <f>IF(A78="","",COUNTIFS(Data!$I:$I,"Reyna",Data!$J:$J,"Onboarded",Data!$C:$C,A78))</f>
        <v/>
      </c>
      <c r="I78" t="str">
        <f>IF(A78="","",COUNTIFS(Data!$I:$I,"Reyna",Data!$J:$J,"Referral",Data!$C:$C,A78))</f>
        <v/>
      </c>
      <c r="J78" t="str">
        <f>IF(A78="","",COUNTIFS(Data!$I:$I,"Reyna",Data!$J:$J,"Transfer",Data!$C:$C,A78))</f>
        <v/>
      </c>
      <c r="K78" t="str">
        <f t="shared" si="2"/>
        <v/>
      </c>
    </row>
    <row r="79" spans="2:11" x14ac:dyDescent="0.25">
      <c r="B79" t="str">
        <f>IF(A79="","",COUNTIFS(Data!$I:$I,"Kirk",Data!$J:$J,"Onboarded",Data!$C:$C,A79))</f>
        <v/>
      </c>
      <c r="C79" t="str">
        <f>IF(A79="","",COUNTIFS(Data!$I:$I,"Kirk",Data!$J:$J,"Referral",Data!$C:$C,A79))</f>
        <v/>
      </c>
      <c r="D79" t="str">
        <f>IF(A79="","",COUNTIFS(Data!$I:$I,"Kirk",Data!$J:$J,"Transfer",Data!$C:$C,A79))</f>
        <v/>
      </c>
      <c r="E79" t="str">
        <f>IF(A79="","",COUNTIFS(Data!$I:$I,"Justin",Data!$J:$J,"Onboarded",Data!$C:$C,A79))</f>
        <v/>
      </c>
      <c r="F79" t="str">
        <f>IF(A79="","",COUNTIFS(Data!$I:$I,"Justin",Data!$J:$J,"Referral",Data!$C:$C,A79))</f>
        <v/>
      </c>
      <c r="G79" t="str">
        <f>IF(A79="","",COUNTIFS(Data!$I:$I,"Justin",Data!$J:$J,"Transfer",Data!$C:$C,A79))</f>
        <v/>
      </c>
      <c r="H79" t="str">
        <f>IF(A79="","",COUNTIFS(Data!$I:$I,"Reyna",Data!$J:$J,"Onboarded",Data!$C:$C,A79))</f>
        <v/>
      </c>
      <c r="I79" t="str">
        <f>IF(A79="","",COUNTIFS(Data!$I:$I,"Reyna",Data!$J:$J,"Referral",Data!$C:$C,A79))</f>
        <v/>
      </c>
      <c r="J79" t="str">
        <f>IF(A79="","",COUNTIFS(Data!$I:$I,"Reyna",Data!$J:$J,"Transfer",Data!$C:$C,A79))</f>
        <v/>
      </c>
      <c r="K79" t="str">
        <f t="shared" si="2"/>
        <v/>
      </c>
    </row>
    <row r="80" spans="2:11" x14ac:dyDescent="0.25">
      <c r="B80" t="str">
        <f>IF(A80="","",COUNTIFS(Data!$I:$I,"Kirk",Data!$J:$J,"Onboarded",Data!$C:$C,A80))</f>
        <v/>
      </c>
      <c r="C80" t="str">
        <f>IF(A80="","",COUNTIFS(Data!$I:$I,"Kirk",Data!$J:$J,"Referral",Data!$C:$C,A80))</f>
        <v/>
      </c>
      <c r="D80" t="str">
        <f>IF(A80="","",COUNTIFS(Data!$I:$I,"Kirk",Data!$J:$J,"Transfer",Data!$C:$C,A80))</f>
        <v/>
      </c>
      <c r="E80" t="str">
        <f>IF(A80="","",COUNTIFS(Data!$I:$I,"Justin",Data!$J:$J,"Onboarded",Data!$C:$C,A80))</f>
        <v/>
      </c>
      <c r="F80" t="str">
        <f>IF(A80="","",COUNTIFS(Data!$I:$I,"Justin",Data!$J:$J,"Referral",Data!$C:$C,A80))</f>
        <v/>
      </c>
      <c r="G80" t="str">
        <f>IF(A80="","",COUNTIFS(Data!$I:$I,"Justin",Data!$J:$J,"Transfer",Data!$C:$C,A80))</f>
        <v/>
      </c>
      <c r="H80" t="str">
        <f>IF(A80="","",COUNTIFS(Data!$I:$I,"Reyna",Data!$J:$J,"Onboarded",Data!$C:$C,A80))</f>
        <v/>
      </c>
      <c r="I80" t="str">
        <f>IF(A80="","",COUNTIFS(Data!$I:$I,"Reyna",Data!$J:$J,"Referral",Data!$C:$C,A80))</f>
        <v/>
      </c>
      <c r="J80" t="str">
        <f>IF(A80="","",COUNTIFS(Data!$I:$I,"Reyna",Data!$J:$J,"Transfer",Data!$C:$C,A80))</f>
        <v/>
      </c>
      <c r="K80" t="str">
        <f t="shared" si="2"/>
        <v/>
      </c>
    </row>
    <row r="81" spans="2:11" x14ac:dyDescent="0.25">
      <c r="B81" t="str">
        <f>IF(A81="","",COUNTIFS(Data!$I:$I,"Kirk",Data!$J:$J,"Onboarded",Data!$C:$C,A81))</f>
        <v/>
      </c>
      <c r="C81" t="str">
        <f>IF(A81="","",COUNTIFS(Data!$I:$I,"Kirk",Data!$J:$J,"Referral",Data!$C:$C,A81))</f>
        <v/>
      </c>
      <c r="D81" t="str">
        <f>IF(A81="","",COUNTIFS(Data!$I:$I,"Kirk",Data!$J:$J,"Transfer",Data!$C:$C,A81))</f>
        <v/>
      </c>
      <c r="E81" t="str">
        <f>IF(A81="","",COUNTIFS(Data!$I:$I,"Justin",Data!$J:$J,"Onboarded",Data!$C:$C,A81))</f>
        <v/>
      </c>
      <c r="F81" t="str">
        <f>IF(A81="","",COUNTIFS(Data!$I:$I,"Justin",Data!$J:$J,"Referral",Data!$C:$C,A81))</f>
        <v/>
      </c>
      <c r="G81" t="str">
        <f>IF(A81="","",COUNTIFS(Data!$I:$I,"Justin",Data!$J:$J,"Transfer",Data!$C:$C,A81))</f>
        <v/>
      </c>
      <c r="H81" t="str">
        <f>IF(A81="","",COUNTIFS(Data!$I:$I,"Reyna",Data!$J:$J,"Onboarded",Data!$C:$C,A81))</f>
        <v/>
      </c>
      <c r="I81" t="str">
        <f>IF(A81="","",COUNTIFS(Data!$I:$I,"Reyna",Data!$J:$J,"Referral",Data!$C:$C,A81))</f>
        <v/>
      </c>
      <c r="J81" t="str">
        <f>IF(A81="","",COUNTIFS(Data!$I:$I,"Reyna",Data!$J:$J,"Transfer",Data!$C:$C,A81))</f>
        <v/>
      </c>
      <c r="K81" t="str">
        <f t="shared" si="2"/>
        <v/>
      </c>
    </row>
    <row r="82" spans="2:11" x14ac:dyDescent="0.25">
      <c r="B82" t="str">
        <f>IF(A82="","",COUNTIFS(Data!$I:$I,"Kirk",Data!$J:$J,"Onboarded",Data!$C:$C,A82))</f>
        <v/>
      </c>
      <c r="C82" t="str">
        <f>IF(A82="","",COUNTIFS(Data!$I:$I,"Kirk",Data!$J:$J,"Referral",Data!$C:$C,A82))</f>
        <v/>
      </c>
      <c r="D82" t="str">
        <f>IF(A82="","",COUNTIFS(Data!$I:$I,"Kirk",Data!$J:$J,"Transfer",Data!$C:$C,A82))</f>
        <v/>
      </c>
      <c r="E82" t="str">
        <f>IF(A82="","",COUNTIFS(Data!$I:$I,"Justin",Data!$J:$J,"Onboarded",Data!$C:$C,A82))</f>
        <v/>
      </c>
      <c r="F82" t="str">
        <f>IF(A82="","",COUNTIFS(Data!$I:$I,"Justin",Data!$J:$J,"Referral",Data!$C:$C,A82))</f>
        <v/>
      </c>
      <c r="G82" t="str">
        <f>IF(A82="","",COUNTIFS(Data!$I:$I,"Justin",Data!$J:$J,"Transfer",Data!$C:$C,A82))</f>
        <v/>
      </c>
      <c r="H82" t="str">
        <f>IF(A82="","",COUNTIFS(Data!$I:$I,"Reyna",Data!$J:$J,"Onboarded",Data!$C:$C,A82))</f>
        <v/>
      </c>
      <c r="I82" t="str">
        <f>IF(A82="","",COUNTIFS(Data!$I:$I,"Reyna",Data!$J:$J,"Referral",Data!$C:$C,A82))</f>
        <v/>
      </c>
      <c r="J82" t="str">
        <f>IF(A82="","",COUNTIFS(Data!$I:$I,"Reyna",Data!$J:$J,"Transfer",Data!$C:$C,A82))</f>
        <v/>
      </c>
      <c r="K82" t="str">
        <f t="shared" si="2"/>
        <v/>
      </c>
    </row>
    <row r="83" spans="2:11" x14ac:dyDescent="0.25">
      <c r="B83" t="str">
        <f>IF(A83="","",COUNTIFS(Data!$I:$I,"Kirk",Data!$J:$J,"Onboarded",Data!$C:$C,A83))</f>
        <v/>
      </c>
      <c r="C83" t="str">
        <f>IF(A83="","",COUNTIFS(Data!$I:$I,"Kirk",Data!$J:$J,"Referral",Data!$C:$C,A83))</f>
        <v/>
      </c>
      <c r="D83" t="str">
        <f>IF(A83="","",COUNTIFS(Data!$I:$I,"Kirk",Data!$J:$J,"Transfer",Data!$C:$C,A83))</f>
        <v/>
      </c>
      <c r="E83" t="str">
        <f>IF(A83="","",COUNTIFS(Data!$I:$I,"Justin",Data!$J:$J,"Onboarded",Data!$C:$C,A83))</f>
        <v/>
      </c>
      <c r="F83" t="str">
        <f>IF(A83="","",COUNTIFS(Data!$I:$I,"Justin",Data!$J:$J,"Referral",Data!$C:$C,A83))</f>
        <v/>
      </c>
      <c r="G83" t="str">
        <f>IF(A83="","",COUNTIFS(Data!$I:$I,"Justin",Data!$J:$J,"Transfer",Data!$C:$C,A83))</f>
        <v/>
      </c>
      <c r="H83" t="str">
        <f>IF(A83="","",COUNTIFS(Data!$I:$I,"Reyna",Data!$J:$J,"Onboarded",Data!$C:$C,A83))</f>
        <v/>
      </c>
      <c r="I83" t="str">
        <f>IF(A83="","",COUNTIFS(Data!$I:$I,"Reyna",Data!$J:$J,"Referral",Data!$C:$C,A83))</f>
        <v/>
      </c>
      <c r="J83" t="str">
        <f>IF(A83="","",COUNTIFS(Data!$I:$I,"Reyna",Data!$J:$J,"Transfer",Data!$C:$C,A83))</f>
        <v/>
      </c>
      <c r="K83" t="str">
        <f t="shared" si="2"/>
        <v/>
      </c>
    </row>
    <row r="84" spans="2:11" x14ac:dyDescent="0.25">
      <c r="B84" t="str">
        <f>IF(A84="","",COUNTIFS(Data!$I:$I,"Kirk",Data!$J:$J,"Onboarded",Data!$C:$C,A84))</f>
        <v/>
      </c>
      <c r="C84" t="str">
        <f>IF(A84="","",COUNTIFS(Data!$I:$I,"Kirk",Data!$J:$J,"Referral",Data!$C:$C,A84))</f>
        <v/>
      </c>
      <c r="D84" t="str">
        <f>IF(A84="","",COUNTIFS(Data!$I:$I,"Kirk",Data!$J:$J,"Transfer",Data!$C:$C,A84))</f>
        <v/>
      </c>
      <c r="E84" t="str">
        <f>IF(A84="","",COUNTIFS(Data!$I:$I,"Justin",Data!$J:$J,"Onboarded",Data!$C:$C,A84))</f>
        <v/>
      </c>
      <c r="F84" t="str">
        <f>IF(A84="","",COUNTIFS(Data!$I:$I,"Justin",Data!$J:$J,"Referral",Data!$C:$C,A84))</f>
        <v/>
      </c>
      <c r="G84" t="str">
        <f>IF(A84="","",COUNTIFS(Data!$I:$I,"Justin",Data!$J:$J,"Transfer",Data!$C:$C,A84))</f>
        <v/>
      </c>
      <c r="H84" t="str">
        <f>IF(A84="","",COUNTIFS(Data!$I:$I,"Reyna",Data!$J:$J,"Onboarded",Data!$C:$C,A84))</f>
        <v/>
      </c>
      <c r="I84" t="str">
        <f>IF(A84="","",COUNTIFS(Data!$I:$I,"Reyna",Data!$J:$J,"Referral",Data!$C:$C,A84))</f>
        <v/>
      </c>
      <c r="J84" t="str">
        <f>IF(A84="","",COUNTIFS(Data!$I:$I,"Reyna",Data!$J:$J,"Transfer",Data!$C:$C,A84))</f>
        <v/>
      </c>
      <c r="K84" t="str">
        <f t="shared" si="2"/>
        <v/>
      </c>
    </row>
    <row r="85" spans="2:11" x14ac:dyDescent="0.25">
      <c r="B85" t="str">
        <f>IF(A85="","",COUNTIFS(Data!$I:$I,"Kirk",Data!$J:$J,"Onboarded",Data!$C:$C,A85))</f>
        <v/>
      </c>
      <c r="C85" t="str">
        <f>IF(A85="","",COUNTIFS(Data!$I:$I,"Kirk",Data!$J:$J,"Referral",Data!$C:$C,A85))</f>
        <v/>
      </c>
      <c r="D85" t="str">
        <f>IF(A85="","",COUNTIFS(Data!$I:$I,"Kirk",Data!$J:$J,"Transfer",Data!$C:$C,A85))</f>
        <v/>
      </c>
      <c r="E85" t="str">
        <f>IF(A85="","",COUNTIFS(Data!$I:$I,"Justin",Data!$J:$J,"Onboarded",Data!$C:$C,A85))</f>
        <v/>
      </c>
      <c r="F85" t="str">
        <f>IF(A85="","",COUNTIFS(Data!$I:$I,"Justin",Data!$J:$J,"Referral",Data!$C:$C,A85))</f>
        <v/>
      </c>
      <c r="G85" t="str">
        <f>IF(A85="","",COUNTIFS(Data!$I:$I,"Justin",Data!$J:$J,"Transfer",Data!$C:$C,A85))</f>
        <v/>
      </c>
      <c r="H85" t="str">
        <f>IF(A85="","",COUNTIFS(Data!$I:$I,"Reyna",Data!$J:$J,"Onboarded",Data!$C:$C,A85))</f>
        <v/>
      </c>
      <c r="I85" t="str">
        <f>IF(A85="","",COUNTIFS(Data!$I:$I,"Reyna",Data!$J:$J,"Referral",Data!$C:$C,A85))</f>
        <v/>
      </c>
      <c r="J85" t="str">
        <f>IF(A85="","",COUNTIFS(Data!$I:$I,"Reyna",Data!$J:$J,"Transfer",Data!$C:$C,A85))</f>
        <v/>
      </c>
      <c r="K85" t="str">
        <f t="shared" si="2"/>
        <v/>
      </c>
    </row>
    <row r="86" spans="2:11" x14ac:dyDescent="0.25">
      <c r="B86" t="str">
        <f>IF(A86="","",COUNTIFS(Data!$I:$I,"Kirk",Data!$J:$J,"Onboarded",Data!$C:$C,A86))</f>
        <v/>
      </c>
      <c r="C86" t="str">
        <f>IF(A86="","",COUNTIFS(Data!$I:$I,"Kirk",Data!$J:$J,"Referral",Data!$C:$C,A86))</f>
        <v/>
      </c>
      <c r="D86" t="str">
        <f>IF(A86="","",COUNTIFS(Data!$I:$I,"Kirk",Data!$J:$J,"Transfer",Data!$C:$C,A86))</f>
        <v/>
      </c>
      <c r="E86" t="str">
        <f>IF(A86="","",COUNTIFS(Data!$I:$I,"Justin",Data!$J:$J,"Onboarded",Data!$C:$C,A86))</f>
        <v/>
      </c>
      <c r="F86" t="str">
        <f>IF(A86="","",COUNTIFS(Data!$I:$I,"Justin",Data!$J:$J,"Referral",Data!$C:$C,A86))</f>
        <v/>
      </c>
      <c r="G86" t="str">
        <f>IF(A86="","",COUNTIFS(Data!$I:$I,"Justin",Data!$J:$J,"Transfer",Data!$C:$C,A86))</f>
        <v/>
      </c>
      <c r="H86" t="str">
        <f>IF(A86="","",COUNTIFS(Data!$I:$I,"Reyna",Data!$J:$J,"Onboarded",Data!$C:$C,A86))</f>
        <v/>
      </c>
      <c r="I86" t="str">
        <f>IF(A86="","",COUNTIFS(Data!$I:$I,"Reyna",Data!$J:$J,"Referral",Data!$C:$C,A86))</f>
        <v/>
      </c>
      <c r="J86" t="str">
        <f>IF(A86="","",COUNTIFS(Data!$I:$I,"Reyna",Data!$J:$J,"Transfer",Data!$C:$C,A86))</f>
        <v/>
      </c>
      <c r="K86" t="str">
        <f t="shared" si="2"/>
        <v/>
      </c>
    </row>
    <row r="87" spans="2:11" x14ac:dyDescent="0.25">
      <c r="B87" t="str">
        <f>IF(A87="","",COUNTIFS(Data!$I:$I,"Kirk",Data!$J:$J,"Onboarded",Data!$C:$C,A87))</f>
        <v/>
      </c>
      <c r="C87" t="str">
        <f>IF(A87="","",COUNTIFS(Data!$I:$I,"Kirk",Data!$J:$J,"Referral",Data!$C:$C,A87))</f>
        <v/>
      </c>
      <c r="D87" t="str">
        <f>IF(A87="","",COUNTIFS(Data!$I:$I,"Kirk",Data!$J:$J,"Transfer",Data!$C:$C,A87))</f>
        <v/>
      </c>
      <c r="E87" t="str">
        <f>IF(A87="","",COUNTIFS(Data!$I:$I,"Justin",Data!$J:$J,"Onboarded",Data!$C:$C,A87))</f>
        <v/>
      </c>
      <c r="F87" t="str">
        <f>IF(A87="","",COUNTIFS(Data!$I:$I,"Justin",Data!$J:$J,"Referral",Data!$C:$C,A87))</f>
        <v/>
      </c>
      <c r="G87" t="str">
        <f>IF(A87="","",COUNTIFS(Data!$I:$I,"Justin",Data!$J:$J,"Transfer",Data!$C:$C,A87))</f>
        <v/>
      </c>
      <c r="H87" t="str">
        <f>IF(A87="","",COUNTIFS(Data!$I:$I,"Reyna",Data!$J:$J,"Onboarded",Data!$C:$C,A87))</f>
        <v/>
      </c>
      <c r="I87" t="str">
        <f>IF(A87="","",COUNTIFS(Data!$I:$I,"Reyna",Data!$J:$J,"Referral",Data!$C:$C,A87))</f>
        <v/>
      </c>
      <c r="J87" t="str">
        <f>IF(A87="","",COUNTIFS(Data!$I:$I,"Reyna",Data!$J:$J,"Transfer",Data!$C:$C,A87))</f>
        <v/>
      </c>
      <c r="K87" t="str">
        <f t="shared" si="2"/>
        <v/>
      </c>
    </row>
    <row r="88" spans="2:11" x14ac:dyDescent="0.25">
      <c r="B88" t="str">
        <f>IF(A88="","",COUNTIFS(Data!$I:$I,"Kirk",Data!$J:$J,"Onboarded",Data!$C:$C,A88))</f>
        <v/>
      </c>
      <c r="C88" t="str">
        <f>IF(A88="","",COUNTIFS(Data!$I:$I,"Kirk",Data!$J:$J,"Referral",Data!$C:$C,A88))</f>
        <v/>
      </c>
      <c r="D88" t="str">
        <f>IF(A88="","",COUNTIFS(Data!$I:$I,"Kirk",Data!$J:$J,"Transfer",Data!$C:$C,A88))</f>
        <v/>
      </c>
      <c r="E88" t="str">
        <f>IF(A88="","",COUNTIFS(Data!$I:$I,"Justin",Data!$J:$J,"Onboarded",Data!$C:$C,A88))</f>
        <v/>
      </c>
      <c r="F88" t="str">
        <f>IF(A88="","",COUNTIFS(Data!$I:$I,"Justin",Data!$J:$J,"Referral",Data!$C:$C,A88))</f>
        <v/>
      </c>
      <c r="G88" t="str">
        <f>IF(A88="","",COUNTIFS(Data!$I:$I,"Justin",Data!$J:$J,"Transfer",Data!$C:$C,A88))</f>
        <v/>
      </c>
      <c r="H88" t="str">
        <f>IF(A88="","",COUNTIFS(Data!$I:$I,"Reyna",Data!$J:$J,"Onboarded",Data!$C:$C,A88))</f>
        <v/>
      </c>
      <c r="I88" t="str">
        <f>IF(A88="","",COUNTIFS(Data!$I:$I,"Reyna",Data!$J:$J,"Referral",Data!$C:$C,A88))</f>
        <v/>
      </c>
      <c r="J88" t="str">
        <f>IF(A88="","",COUNTIFS(Data!$I:$I,"Reyna",Data!$J:$J,"Transfer",Data!$C:$C,A88))</f>
        <v/>
      </c>
      <c r="K88" t="str">
        <f t="shared" si="2"/>
        <v/>
      </c>
    </row>
    <row r="89" spans="2:11" x14ac:dyDescent="0.25">
      <c r="B89" t="str">
        <f>IF(A89="","",COUNTIFS(Data!$I:$I,"Kirk",Data!$J:$J,"Onboarded",Data!$C:$C,A89))</f>
        <v/>
      </c>
      <c r="C89" t="str">
        <f>IF(A89="","",COUNTIFS(Data!$I:$I,"Kirk",Data!$J:$J,"Referral",Data!$C:$C,A89))</f>
        <v/>
      </c>
      <c r="D89" t="str">
        <f>IF(A89="","",COUNTIFS(Data!$I:$I,"Kirk",Data!$J:$J,"Transfer",Data!$C:$C,A89))</f>
        <v/>
      </c>
      <c r="E89" t="str">
        <f>IF(A89="","",COUNTIFS(Data!$I:$I,"Justin",Data!$J:$J,"Onboarded",Data!$C:$C,A89))</f>
        <v/>
      </c>
      <c r="F89" t="str">
        <f>IF(A89="","",COUNTIFS(Data!$I:$I,"Justin",Data!$J:$J,"Referral",Data!$C:$C,A89))</f>
        <v/>
      </c>
      <c r="G89" t="str">
        <f>IF(A89="","",COUNTIFS(Data!$I:$I,"Justin",Data!$J:$J,"Transfer",Data!$C:$C,A89))</f>
        <v/>
      </c>
      <c r="H89" t="str">
        <f>IF(A89="","",COUNTIFS(Data!$I:$I,"Reyna",Data!$J:$J,"Onboarded",Data!$C:$C,A89))</f>
        <v/>
      </c>
      <c r="I89" t="str">
        <f>IF(A89="","",COUNTIFS(Data!$I:$I,"Reyna",Data!$J:$J,"Referral",Data!$C:$C,A89))</f>
        <v/>
      </c>
      <c r="J89" t="str">
        <f>IF(A89="","",COUNTIFS(Data!$I:$I,"Reyna",Data!$J:$J,"Transfer",Data!$C:$C,A89))</f>
        <v/>
      </c>
      <c r="K89" t="str">
        <f t="shared" si="2"/>
        <v/>
      </c>
    </row>
    <row r="90" spans="2:11" x14ac:dyDescent="0.25">
      <c r="B90" t="str">
        <f>IF(A90="","",COUNTIFS(Data!$I:$I,"Kirk",Data!$J:$J,"Onboarded",Data!$C:$C,A90))</f>
        <v/>
      </c>
      <c r="C90" t="str">
        <f>IF(A90="","",COUNTIFS(Data!$I:$I,"Kirk",Data!$J:$J,"Referral",Data!$C:$C,A90))</f>
        <v/>
      </c>
      <c r="D90" t="str">
        <f>IF(A90="","",COUNTIFS(Data!$I:$I,"Kirk",Data!$J:$J,"Transfer",Data!$C:$C,A90))</f>
        <v/>
      </c>
      <c r="E90" t="str">
        <f>IF(A90="","",COUNTIFS(Data!$I:$I,"Justin",Data!$J:$J,"Onboarded",Data!$C:$C,A90))</f>
        <v/>
      </c>
      <c r="F90" t="str">
        <f>IF(A90="","",COUNTIFS(Data!$I:$I,"Justin",Data!$J:$J,"Referral",Data!$C:$C,A90))</f>
        <v/>
      </c>
      <c r="G90" t="str">
        <f>IF(A90="","",COUNTIFS(Data!$I:$I,"Justin",Data!$J:$J,"Transfer",Data!$C:$C,A90))</f>
        <v/>
      </c>
      <c r="H90" t="str">
        <f>IF(A90="","",COUNTIFS(Data!$I:$I,"Reyna",Data!$J:$J,"Onboarded",Data!$C:$C,A90))</f>
        <v/>
      </c>
      <c r="I90" t="str">
        <f>IF(A90="","",COUNTIFS(Data!$I:$I,"Reyna",Data!$J:$J,"Referral",Data!$C:$C,A90))</f>
        <v/>
      </c>
      <c r="J90" t="str">
        <f>IF(A90="","",COUNTIFS(Data!$I:$I,"Reyna",Data!$J:$J,"Transfer",Data!$C:$C,A90))</f>
        <v/>
      </c>
      <c r="K90" t="str">
        <f t="shared" si="2"/>
        <v/>
      </c>
    </row>
    <row r="91" spans="2:11" x14ac:dyDescent="0.25">
      <c r="B91" t="str">
        <f>IF(A91="","",COUNTIFS(Data!$I:$I,"Kirk",Data!$J:$J,"Onboarded",Data!$C:$C,A91))</f>
        <v/>
      </c>
      <c r="C91" t="str">
        <f>IF(A91="","",COUNTIFS(Data!$I:$I,"Kirk",Data!$J:$J,"Referral",Data!$C:$C,A91))</f>
        <v/>
      </c>
      <c r="D91" t="str">
        <f>IF(A91="","",COUNTIFS(Data!$I:$I,"Kirk",Data!$J:$J,"Transfer",Data!$C:$C,A91))</f>
        <v/>
      </c>
      <c r="E91" t="str">
        <f>IF(A91="","",COUNTIFS(Data!$I:$I,"Justin",Data!$J:$J,"Onboarded",Data!$C:$C,A91))</f>
        <v/>
      </c>
      <c r="F91" t="str">
        <f>IF(A91="","",COUNTIFS(Data!$I:$I,"Justin",Data!$J:$J,"Referral",Data!$C:$C,A91))</f>
        <v/>
      </c>
      <c r="G91" t="str">
        <f>IF(A91="","",COUNTIFS(Data!$I:$I,"Justin",Data!$J:$J,"Transfer",Data!$C:$C,A91))</f>
        <v/>
      </c>
      <c r="H91" t="str">
        <f>IF(A91="","",COUNTIFS(Data!$I:$I,"Reyna",Data!$J:$J,"Onboarded",Data!$C:$C,A91))</f>
        <v/>
      </c>
      <c r="I91" t="str">
        <f>IF(A91="","",COUNTIFS(Data!$I:$I,"Reyna",Data!$J:$J,"Referral",Data!$C:$C,A91))</f>
        <v/>
      </c>
      <c r="J91" t="str">
        <f>IF(A91="","",COUNTIFS(Data!$I:$I,"Reyna",Data!$J:$J,"Transfer",Data!$C:$C,A91))</f>
        <v/>
      </c>
      <c r="K91" t="str">
        <f t="shared" si="2"/>
        <v/>
      </c>
    </row>
    <row r="92" spans="2:11" x14ac:dyDescent="0.25">
      <c r="B92" t="str">
        <f>IF(A92="","",COUNTIFS(Data!$I:$I,"Kirk",Data!$J:$J,"Onboarded",Data!$C:$C,A92))</f>
        <v/>
      </c>
      <c r="C92" t="str">
        <f>IF(A92="","",COUNTIFS(Data!$I:$I,"Kirk",Data!$J:$J,"Referral",Data!$C:$C,A92))</f>
        <v/>
      </c>
      <c r="D92" t="str">
        <f>IF(A92="","",COUNTIFS(Data!$I:$I,"Kirk",Data!$J:$J,"Transfer",Data!$C:$C,A92))</f>
        <v/>
      </c>
      <c r="E92" t="str">
        <f>IF(A92="","",COUNTIFS(Data!$I:$I,"Justin",Data!$J:$J,"Onboarded",Data!$C:$C,A92))</f>
        <v/>
      </c>
      <c r="F92" t="str">
        <f>IF(A92="","",COUNTIFS(Data!$I:$I,"Justin",Data!$J:$J,"Referral",Data!$C:$C,A92))</f>
        <v/>
      </c>
      <c r="G92" t="str">
        <f>IF(A92="","",COUNTIFS(Data!$I:$I,"Justin",Data!$J:$J,"Transfer",Data!$C:$C,A92))</f>
        <v/>
      </c>
      <c r="H92" t="str">
        <f>IF(A92="","",COUNTIFS(Data!$I:$I,"Reyna",Data!$J:$J,"Onboarded",Data!$C:$C,A92))</f>
        <v/>
      </c>
      <c r="I92" t="str">
        <f>IF(A92="","",COUNTIFS(Data!$I:$I,"Reyna",Data!$J:$J,"Referral",Data!$C:$C,A92))</f>
        <v/>
      </c>
      <c r="J92" t="str">
        <f>IF(A92="","",COUNTIFS(Data!$I:$I,"Reyna",Data!$J:$J,"Transfer",Data!$C:$C,A92))</f>
        <v/>
      </c>
      <c r="K92" t="str">
        <f t="shared" si="2"/>
        <v/>
      </c>
    </row>
    <row r="93" spans="2:11" x14ac:dyDescent="0.25">
      <c r="B93" t="str">
        <f>IF(A93="","",COUNTIFS(Data!$I:$I,"Kirk",Data!$J:$J,"Onboarded",Data!$C:$C,A93))</f>
        <v/>
      </c>
      <c r="C93" t="str">
        <f>IF(A93="","",COUNTIFS(Data!$I:$I,"Kirk",Data!$J:$J,"Referral",Data!$C:$C,A93))</f>
        <v/>
      </c>
      <c r="D93" t="str">
        <f>IF(A93="","",COUNTIFS(Data!$I:$I,"Kirk",Data!$J:$J,"Transfer",Data!$C:$C,A93))</f>
        <v/>
      </c>
      <c r="E93" t="str">
        <f>IF(A93="","",COUNTIFS(Data!$I:$I,"Justin",Data!$J:$J,"Onboarded",Data!$C:$C,A93))</f>
        <v/>
      </c>
      <c r="F93" t="str">
        <f>IF(A93="","",COUNTIFS(Data!$I:$I,"Justin",Data!$J:$J,"Referral",Data!$C:$C,A93))</f>
        <v/>
      </c>
      <c r="G93" t="str">
        <f>IF(A93="","",COUNTIFS(Data!$I:$I,"Justin",Data!$J:$J,"Transfer",Data!$C:$C,A93))</f>
        <v/>
      </c>
      <c r="H93" t="str">
        <f>IF(A93="","",COUNTIFS(Data!$I:$I,"Reyna",Data!$J:$J,"Onboarded",Data!$C:$C,A93))</f>
        <v/>
      </c>
      <c r="I93" t="str">
        <f>IF(A93="","",COUNTIFS(Data!$I:$I,"Reyna",Data!$J:$J,"Referral",Data!$C:$C,A93))</f>
        <v/>
      </c>
      <c r="J93" t="str">
        <f>IF(A93="","",COUNTIFS(Data!$I:$I,"Reyna",Data!$J:$J,"Transfer",Data!$C:$C,A93))</f>
        <v/>
      </c>
      <c r="K93" t="str">
        <f t="shared" si="2"/>
        <v/>
      </c>
    </row>
    <row r="94" spans="2:11" x14ac:dyDescent="0.25">
      <c r="B94" t="str">
        <f>IF(A94="","",COUNTIFS(Data!$I:$I,"Kirk",Data!$J:$J,"Onboarded",Data!$C:$C,A94))</f>
        <v/>
      </c>
      <c r="C94" t="str">
        <f>IF(A94="","",COUNTIFS(Data!$I:$I,"Kirk",Data!$J:$J,"Referral",Data!$C:$C,A94))</f>
        <v/>
      </c>
      <c r="D94" t="str">
        <f>IF(A94="","",COUNTIFS(Data!$I:$I,"Kirk",Data!$J:$J,"Transfer",Data!$C:$C,A94))</f>
        <v/>
      </c>
      <c r="E94" t="str">
        <f>IF(A94="","",COUNTIFS(Data!$I:$I,"Justin",Data!$J:$J,"Onboarded",Data!$C:$C,A94))</f>
        <v/>
      </c>
      <c r="F94" t="str">
        <f>IF(A94="","",COUNTIFS(Data!$I:$I,"Justin",Data!$J:$J,"Referral",Data!$C:$C,A94))</f>
        <v/>
      </c>
      <c r="G94" t="str">
        <f>IF(A94="","",COUNTIFS(Data!$I:$I,"Justin",Data!$J:$J,"Transfer",Data!$C:$C,A94))</f>
        <v/>
      </c>
      <c r="H94" t="str">
        <f>IF(A94="","",COUNTIFS(Data!$I:$I,"Reyna",Data!$J:$J,"Onboarded",Data!$C:$C,A94))</f>
        <v/>
      </c>
      <c r="I94" t="str">
        <f>IF(A94="","",COUNTIFS(Data!$I:$I,"Reyna",Data!$J:$J,"Referral",Data!$C:$C,A94))</f>
        <v/>
      </c>
      <c r="J94" t="str">
        <f>IF(A94="","",COUNTIFS(Data!$I:$I,"Reyna",Data!$J:$J,"Transfer",Data!$C:$C,A94))</f>
        <v/>
      </c>
      <c r="K94" t="str">
        <f t="shared" si="2"/>
        <v/>
      </c>
    </row>
    <row r="95" spans="2:11" x14ac:dyDescent="0.25">
      <c r="B95" t="str">
        <f>IF(A95="","",COUNTIFS(Data!$I:$I,"Kirk",Data!$J:$J,"Onboarded",Data!$C:$C,A95))</f>
        <v/>
      </c>
      <c r="C95" t="str">
        <f>IF(A95="","",COUNTIFS(Data!$I:$I,"Kirk",Data!$J:$J,"Referral",Data!$C:$C,A95))</f>
        <v/>
      </c>
      <c r="D95" t="str">
        <f>IF(A95="","",COUNTIFS(Data!$I:$I,"Kirk",Data!$J:$J,"Transfer",Data!$C:$C,A95))</f>
        <v/>
      </c>
      <c r="E95" t="str">
        <f>IF(A95="","",COUNTIFS(Data!$I:$I,"Justin",Data!$J:$J,"Onboarded",Data!$C:$C,A95))</f>
        <v/>
      </c>
      <c r="F95" t="str">
        <f>IF(A95="","",COUNTIFS(Data!$I:$I,"Justin",Data!$J:$J,"Referral",Data!$C:$C,A95))</f>
        <v/>
      </c>
      <c r="G95" t="str">
        <f>IF(A95="","",COUNTIFS(Data!$I:$I,"Justin",Data!$J:$J,"Transfer",Data!$C:$C,A95))</f>
        <v/>
      </c>
      <c r="H95" t="str">
        <f>IF(A95="","",COUNTIFS(Data!$I:$I,"Reyna",Data!$J:$J,"Onboarded",Data!$C:$C,A95))</f>
        <v/>
      </c>
      <c r="I95" t="str">
        <f>IF(A95="","",COUNTIFS(Data!$I:$I,"Reyna",Data!$J:$J,"Referral",Data!$C:$C,A95))</f>
        <v/>
      </c>
      <c r="J95" t="str">
        <f>IF(A95="","",COUNTIFS(Data!$I:$I,"Reyna",Data!$J:$J,"Transfer",Data!$C:$C,A95))</f>
        <v/>
      </c>
      <c r="K95" t="str">
        <f t="shared" si="2"/>
        <v/>
      </c>
    </row>
    <row r="96" spans="2:11" x14ac:dyDescent="0.25">
      <c r="B96" t="str">
        <f>IF(A96="","",COUNTIFS(Data!$I:$I,"Kirk",Data!$J:$J,"Onboarded",Data!$C:$C,A96))</f>
        <v/>
      </c>
      <c r="C96" t="str">
        <f>IF(A96="","",COUNTIFS(Data!$I:$I,"Kirk",Data!$J:$J,"Referral",Data!$C:$C,A96))</f>
        <v/>
      </c>
      <c r="D96" t="str">
        <f>IF(A96="","",COUNTIFS(Data!$I:$I,"Kirk",Data!$J:$J,"Transfer",Data!$C:$C,A96))</f>
        <v/>
      </c>
      <c r="E96" t="str">
        <f>IF(A96="","",COUNTIFS(Data!$I:$I,"Justin",Data!$J:$J,"Onboarded",Data!$C:$C,A96))</f>
        <v/>
      </c>
      <c r="F96" t="str">
        <f>IF(A96="","",COUNTIFS(Data!$I:$I,"Justin",Data!$J:$J,"Referral",Data!$C:$C,A96))</f>
        <v/>
      </c>
      <c r="G96" t="str">
        <f>IF(A96="","",COUNTIFS(Data!$I:$I,"Justin",Data!$J:$J,"Transfer",Data!$C:$C,A96))</f>
        <v/>
      </c>
      <c r="H96" t="str">
        <f>IF(A96="","",COUNTIFS(Data!$I:$I,"Reyna",Data!$J:$J,"Onboarded",Data!$C:$C,A96))</f>
        <v/>
      </c>
      <c r="I96" t="str">
        <f>IF(A96="","",COUNTIFS(Data!$I:$I,"Reyna",Data!$J:$J,"Referral",Data!$C:$C,A96))</f>
        <v/>
      </c>
      <c r="J96" t="str">
        <f>IF(A96="","",COUNTIFS(Data!$I:$I,"Reyna",Data!$J:$J,"Transfer",Data!$C:$C,A96))</f>
        <v/>
      </c>
      <c r="K96" t="str">
        <f t="shared" si="2"/>
        <v/>
      </c>
    </row>
    <row r="97" spans="2:11" x14ac:dyDescent="0.25">
      <c r="B97" t="str">
        <f>IF(A97="","",COUNTIFS(Data!$I:$I,"Kirk",Data!$J:$J,"Onboarded",Data!$C:$C,A97))</f>
        <v/>
      </c>
      <c r="C97" t="str">
        <f>IF(A97="","",COUNTIFS(Data!$I:$I,"Kirk",Data!$J:$J,"Referral",Data!$C:$C,A97))</f>
        <v/>
      </c>
      <c r="D97" t="str">
        <f>IF(A97="","",COUNTIFS(Data!$I:$I,"Kirk",Data!$J:$J,"Transfer",Data!$C:$C,A97))</f>
        <v/>
      </c>
      <c r="E97" t="str">
        <f>IF(A97="","",COUNTIFS(Data!$I:$I,"Justin",Data!$J:$J,"Onboarded",Data!$C:$C,A97))</f>
        <v/>
      </c>
      <c r="F97" t="str">
        <f>IF(A97="","",COUNTIFS(Data!$I:$I,"Justin",Data!$J:$J,"Referral",Data!$C:$C,A97))</f>
        <v/>
      </c>
      <c r="G97" t="str">
        <f>IF(A97="","",COUNTIFS(Data!$I:$I,"Justin",Data!$J:$J,"Transfer",Data!$C:$C,A97))</f>
        <v/>
      </c>
      <c r="H97" t="str">
        <f>IF(A97="","",COUNTIFS(Data!$I:$I,"Reyna",Data!$J:$J,"Onboarded",Data!$C:$C,A97))</f>
        <v/>
      </c>
      <c r="I97" t="str">
        <f>IF(A97="","",COUNTIFS(Data!$I:$I,"Reyna",Data!$J:$J,"Referral",Data!$C:$C,A97))</f>
        <v/>
      </c>
      <c r="J97" t="str">
        <f>IF(A97="","",COUNTIFS(Data!$I:$I,"Reyna",Data!$J:$J,"Transfer",Data!$C:$C,A97))</f>
        <v/>
      </c>
      <c r="K97" t="str">
        <f t="shared" si="2"/>
        <v/>
      </c>
    </row>
    <row r="98" spans="2:11" x14ac:dyDescent="0.25">
      <c r="B98" t="str">
        <f>IF(A98="","",COUNTIFS(Data!$I:$I,"Kirk",Data!$J:$J,"Onboarded",Data!$C:$C,A98))</f>
        <v/>
      </c>
      <c r="C98" t="str">
        <f>IF(A98="","",COUNTIFS(Data!$I:$I,"Kirk",Data!$J:$J,"Referral",Data!$C:$C,A98))</f>
        <v/>
      </c>
      <c r="D98" t="str">
        <f>IF(A98="","",COUNTIFS(Data!$I:$I,"Kirk",Data!$J:$J,"Transfer",Data!$C:$C,A98))</f>
        <v/>
      </c>
      <c r="E98" t="str">
        <f>IF(A98="","",COUNTIFS(Data!$I:$I,"Justin",Data!$J:$J,"Onboarded",Data!$C:$C,A98))</f>
        <v/>
      </c>
      <c r="F98" t="str">
        <f>IF(A98="","",COUNTIFS(Data!$I:$I,"Justin",Data!$J:$J,"Referral",Data!$C:$C,A98))</f>
        <v/>
      </c>
      <c r="G98" t="str">
        <f>IF(A98="","",COUNTIFS(Data!$I:$I,"Justin",Data!$J:$J,"Transfer",Data!$C:$C,A98))</f>
        <v/>
      </c>
      <c r="H98" t="str">
        <f>IF(A98="","",COUNTIFS(Data!$I:$I,"Reyna",Data!$J:$J,"Onboarded",Data!$C:$C,A98))</f>
        <v/>
      </c>
      <c r="I98" t="str">
        <f>IF(A98="","",COUNTIFS(Data!$I:$I,"Reyna",Data!$J:$J,"Referral",Data!$C:$C,A98))</f>
        <v/>
      </c>
      <c r="J98" t="str">
        <f>IF(A98="","",COUNTIFS(Data!$I:$I,"Reyna",Data!$J:$J,"Transfer",Data!$C:$C,A98))</f>
        <v/>
      </c>
      <c r="K98" t="str">
        <f t="shared" si="2"/>
        <v/>
      </c>
    </row>
    <row r="99" spans="2:11" x14ac:dyDescent="0.25">
      <c r="B99" t="str">
        <f>IF(A99="","",COUNTIFS(Data!$I:$I,"Kirk",Data!$J:$J,"Onboarded",Data!$C:$C,A99))</f>
        <v/>
      </c>
      <c r="C99" t="str">
        <f>IF(A99="","",COUNTIFS(Data!$I:$I,"Kirk",Data!$J:$J,"Referral",Data!$C:$C,A99))</f>
        <v/>
      </c>
      <c r="D99" t="str">
        <f>IF(A99="","",COUNTIFS(Data!$I:$I,"Kirk",Data!$J:$J,"Transfer",Data!$C:$C,A99))</f>
        <v/>
      </c>
      <c r="E99" t="str">
        <f>IF(A99="","",COUNTIFS(Data!$I:$I,"Justin",Data!$J:$J,"Onboarded",Data!$C:$C,A99))</f>
        <v/>
      </c>
      <c r="F99" t="str">
        <f>IF(A99="","",COUNTIFS(Data!$I:$I,"Justin",Data!$J:$J,"Referral",Data!$C:$C,A99))</f>
        <v/>
      </c>
      <c r="G99" t="str">
        <f>IF(A99="","",COUNTIFS(Data!$I:$I,"Justin",Data!$J:$J,"Transfer",Data!$C:$C,A99))</f>
        <v/>
      </c>
      <c r="H99" t="str">
        <f>IF(A99="","",COUNTIFS(Data!$I:$I,"Reyna",Data!$J:$J,"Onboarded",Data!$C:$C,A99))</f>
        <v/>
      </c>
      <c r="I99" t="str">
        <f>IF(A99="","",COUNTIFS(Data!$I:$I,"Reyna",Data!$J:$J,"Referral",Data!$C:$C,A99))</f>
        <v/>
      </c>
      <c r="J99" t="str">
        <f>IF(A99="","",COUNTIFS(Data!$I:$I,"Reyna",Data!$J:$J,"Transfer",Data!$C:$C,A99))</f>
        <v/>
      </c>
      <c r="K99" t="str">
        <f t="shared" si="2"/>
        <v/>
      </c>
    </row>
    <row r="100" spans="2:11" x14ac:dyDescent="0.25">
      <c r="B100" t="str">
        <f>IF(A100="","",COUNTIFS(Data!$I:$I,"Kirk",Data!$J:$J,"Onboarded",Data!$C:$C,A100))</f>
        <v/>
      </c>
      <c r="C100" t="str">
        <f>IF(A100="","",COUNTIFS(Data!$I:$I,"Kirk",Data!$J:$J,"Referral",Data!$C:$C,A100))</f>
        <v/>
      </c>
      <c r="D100" t="str">
        <f>IF(A100="","",COUNTIFS(Data!$I:$I,"Kirk",Data!$J:$J,"Transfer",Data!$C:$C,A100))</f>
        <v/>
      </c>
      <c r="E100" t="str">
        <f>IF(A100="","",COUNTIFS(Data!$I:$I,"Justin",Data!$J:$J,"Onboarded",Data!$C:$C,A100))</f>
        <v/>
      </c>
      <c r="F100" t="str">
        <f>IF(A100="","",COUNTIFS(Data!$I:$I,"Justin",Data!$J:$J,"Referral",Data!$C:$C,A100))</f>
        <v/>
      </c>
      <c r="G100" t="str">
        <f>IF(A100="","",COUNTIFS(Data!$I:$I,"Justin",Data!$J:$J,"Transfer",Data!$C:$C,A100))</f>
        <v/>
      </c>
      <c r="H100" t="str">
        <f>IF(A100="","",COUNTIFS(Data!$I:$I,"Reyna",Data!$J:$J,"Onboarded",Data!$C:$C,A100))</f>
        <v/>
      </c>
      <c r="I100" t="str">
        <f>IF(A100="","",COUNTIFS(Data!$I:$I,"Reyna",Data!$J:$J,"Referral",Data!$C:$C,A100))</f>
        <v/>
      </c>
      <c r="J100" t="str">
        <f>IF(A100="","",COUNTIFS(Data!$I:$I,"Reyna",Data!$J:$J,"Transfer",Data!$C:$C,A100))</f>
        <v/>
      </c>
      <c r="K100" t="str">
        <f t="shared" si="2"/>
        <v/>
      </c>
    </row>
    <row r="101" spans="2:11" x14ac:dyDescent="0.25">
      <c r="B101" t="str">
        <f>IF(A101="","",COUNTIFS(Data!$I:$I,"Kirk",Data!$J:$J,"Onboarded",Data!$C:$C,A101))</f>
        <v/>
      </c>
      <c r="C101" t="str">
        <f>IF(A101="","",COUNTIFS(Data!$I:$I,"Kirk",Data!$J:$J,"Referral",Data!$C:$C,A101))</f>
        <v/>
      </c>
      <c r="D101" t="str">
        <f>IF(A101="","",COUNTIFS(Data!$I:$I,"Kirk",Data!$J:$J,"Transfer",Data!$C:$C,A101))</f>
        <v/>
      </c>
      <c r="E101" t="str">
        <f>IF(A101="","",COUNTIFS(Data!$I:$I,"Justin",Data!$J:$J,"Onboarded",Data!$C:$C,A101))</f>
        <v/>
      </c>
      <c r="F101" t="str">
        <f>IF(A101="","",COUNTIFS(Data!$I:$I,"Justin",Data!$J:$J,"Referral",Data!$C:$C,A101))</f>
        <v/>
      </c>
      <c r="G101" t="str">
        <f>IF(A101="","",COUNTIFS(Data!$I:$I,"Justin",Data!$J:$J,"Transfer",Data!$C:$C,A101))</f>
        <v/>
      </c>
      <c r="H101" t="str">
        <f>IF(A101="","",COUNTIFS(Data!$I:$I,"Reyna",Data!$J:$J,"Onboarded",Data!$C:$C,A101))</f>
        <v/>
      </c>
      <c r="I101" t="str">
        <f>IF(A101="","",COUNTIFS(Data!$I:$I,"Reyna",Data!$J:$J,"Referral",Data!$C:$C,A101))</f>
        <v/>
      </c>
      <c r="J101" t="str">
        <f>IF(A101="","",COUNTIFS(Data!$I:$I,"Reyna",Data!$J:$J,"Transfer",Data!$C:$C,A101))</f>
        <v/>
      </c>
      <c r="K101" t="str">
        <f t="shared" si="2"/>
        <v/>
      </c>
    </row>
    <row r="102" spans="2:11" x14ac:dyDescent="0.25">
      <c r="B102" t="str">
        <f>IF(A102="","",COUNTIFS(Data!$I:$I,"Kirk",Data!$J:$J,"Onboarded",Data!$C:$C,A102))</f>
        <v/>
      </c>
      <c r="C102" t="str">
        <f>IF(A102="","",COUNTIFS(Data!$I:$I,"Kirk",Data!$J:$J,"Referral",Data!$C:$C,A102))</f>
        <v/>
      </c>
      <c r="D102" t="str">
        <f>IF(A102="","",COUNTIFS(Data!$I:$I,"Kirk",Data!$J:$J,"Transfer",Data!$C:$C,A102))</f>
        <v/>
      </c>
      <c r="E102" t="str">
        <f>IF(A102="","",COUNTIFS(Data!$I:$I,"Justin",Data!$J:$J,"Onboarded",Data!$C:$C,A102))</f>
        <v/>
      </c>
      <c r="F102" t="str">
        <f>IF(A102="","",COUNTIFS(Data!$I:$I,"Justin",Data!$J:$J,"Referral",Data!$C:$C,A102))</f>
        <v/>
      </c>
      <c r="G102" t="str">
        <f>IF(A102="","",COUNTIFS(Data!$I:$I,"Justin",Data!$J:$J,"Transfer",Data!$C:$C,A102))</f>
        <v/>
      </c>
      <c r="H102" t="str">
        <f>IF(A102="","",COUNTIFS(Data!$I:$I,"Reyna",Data!$J:$J,"Onboarded",Data!$C:$C,A102))</f>
        <v/>
      </c>
      <c r="I102" t="str">
        <f>IF(A102="","",COUNTIFS(Data!$I:$I,"Reyna",Data!$J:$J,"Referral",Data!$C:$C,A102))</f>
        <v/>
      </c>
      <c r="J102" t="str">
        <f>IF(A102="","",COUNTIFS(Data!$I:$I,"Reyna",Data!$J:$J,"Transfer",Data!$C:$C,A102))</f>
        <v/>
      </c>
      <c r="K102" t="str">
        <f t="shared" si="2"/>
        <v/>
      </c>
    </row>
    <row r="103" spans="2:11" x14ac:dyDescent="0.25">
      <c r="B103" t="str">
        <f>IF(A103="","",COUNTIFS(Data!$I:$I,"Kirk",Data!$J:$J,"Onboarded",Data!$C:$C,A103))</f>
        <v/>
      </c>
      <c r="C103" t="str">
        <f>IF(A103="","",COUNTIFS(Data!$I:$I,"Kirk",Data!$J:$J,"Referral",Data!$C:$C,A103))</f>
        <v/>
      </c>
      <c r="D103" t="str">
        <f>IF(A103="","",COUNTIFS(Data!$I:$I,"Kirk",Data!$J:$J,"Transfer",Data!$C:$C,A103))</f>
        <v/>
      </c>
      <c r="E103" t="str">
        <f>IF(A103="","",COUNTIFS(Data!$I:$I,"Justin",Data!$J:$J,"Onboarded",Data!$C:$C,A103))</f>
        <v/>
      </c>
      <c r="F103" t="str">
        <f>IF(A103="","",COUNTIFS(Data!$I:$I,"Justin",Data!$J:$J,"Referral",Data!$C:$C,A103))</f>
        <v/>
      </c>
      <c r="G103" t="str">
        <f>IF(A103="","",COUNTIFS(Data!$I:$I,"Justin",Data!$J:$J,"Transfer",Data!$C:$C,A103))</f>
        <v/>
      </c>
      <c r="H103" t="str">
        <f>IF(A103="","",COUNTIFS(Data!$I:$I,"Reyna",Data!$J:$J,"Onboarded",Data!$C:$C,A103))</f>
        <v/>
      </c>
      <c r="I103" t="str">
        <f>IF(A103="","",COUNTIFS(Data!$I:$I,"Reyna",Data!$J:$J,"Referral",Data!$C:$C,A103))</f>
        <v/>
      </c>
      <c r="J103" t="str">
        <f>IF(A103="","",COUNTIFS(Data!$I:$I,"Reyna",Data!$J:$J,"Transfer",Data!$C:$C,A103))</f>
        <v/>
      </c>
      <c r="K103" t="str">
        <f t="shared" si="2"/>
        <v/>
      </c>
    </row>
    <row r="104" spans="2:11" x14ac:dyDescent="0.25">
      <c r="B104" t="str">
        <f>IF(A104="","",COUNTIFS(Data!$I:$I,"Kirk",Data!$J:$J,"Onboarded",Data!$C:$C,A104))</f>
        <v/>
      </c>
      <c r="C104" t="str">
        <f>IF(A104="","",COUNTIFS(Data!$I:$I,"Kirk",Data!$J:$J,"Referral",Data!$C:$C,A104))</f>
        <v/>
      </c>
      <c r="D104" t="str">
        <f>IF(A104="","",COUNTIFS(Data!$I:$I,"Kirk",Data!$J:$J,"Transfer",Data!$C:$C,A104))</f>
        <v/>
      </c>
      <c r="E104" t="str">
        <f>IF(A104="","",COUNTIFS(Data!$I:$I,"Justin",Data!$J:$J,"Onboarded",Data!$C:$C,A104))</f>
        <v/>
      </c>
      <c r="F104" t="str">
        <f>IF(A104="","",COUNTIFS(Data!$I:$I,"Justin",Data!$J:$J,"Referral",Data!$C:$C,A104))</f>
        <v/>
      </c>
      <c r="G104" t="str">
        <f>IF(A104="","",COUNTIFS(Data!$I:$I,"Justin",Data!$J:$J,"Transfer",Data!$C:$C,A104))</f>
        <v/>
      </c>
      <c r="H104" t="str">
        <f>IF(A104="","",COUNTIFS(Data!$I:$I,"Reyna",Data!$J:$J,"Onboarded",Data!$C:$C,A104))</f>
        <v/>
      </c>
      <c r="I104" t="str">
        <f>IF(A104="","",COUNTIFS(Data!$I:$I,"Reyna",Data!$J:$J,"Referral",Data!$C:$C,A104))</f>
        <v/>
      </c>
      <c r="J104" t="str">
        <f>IF(A104="","",COUNTIFS(Data!$I:$I,"Reyna",Data!$J:$J,"Transfer",Data!$C:$C,A104))</f>
        <v/>
      </c>
      <c r="K104" t="str">
        <f t="shared" si="2"/>
        <v/>
      </c>
    </row>
    <row r="105" spans="2:11" x14ac:dyDescent="0.25">
      <c r="B105" t="str">
        <f>IF(A105="","",COUNTIFS(Data!$I:$I,"Kirk",Data!$J:$J,"Onboarded",Data!$C:$C,A105))</f>
        <v/>
      </c>
      <c r="C105" t="str">
        <f>IF(A105="","",COUNTIFS(Data!$I:$I,"Kirk",Data!$J:$J,"Referral",Data!$C:$C,A105))</f>
        <v/>
      </c>
      <c r="D105" t="str">
        <f>IF(A105="","",COUNTIFS(Data!$I:$I,"Kirk",Data!$J:$J,"Transfer",Data!$C:$C,A105))</f>
        <v/>
      </c>
      <c r="E105" t="str">
        <f>IF(A105="","",COUNTIFS(Data!$I:$I,"Justin",Data!$J:$J,"Onboarded",Data!$C:$C,A105))</f>
        <v/>
      </c>
      <c r="F105" t="str">
        <f>IF(A105="","",COUNTIFS(Data!$I:$I,"Justin",Data!$J:$J,"Referral",Data!$C:$C,A105))</f>
        <v/>
      </c>
      <c r="G105" t="str">
        <f>IF(A105="","",COUNTIFS(Data!$I:$I,"Justin",Data!$J:$J,"Transfer",Data!$C:$C,A105))</f>
        <v/>
      </c>
      <c r="H105" t="str">
        <f>IF(A105="","",COUNTIFS(Data!$I:$I,"Reyna",Data!$J:$J,"Onboarded",Data!$C:$C,A105))</f>
        <v/>
      </c>
      <c r="I105" t="str">
        <f>IF(A105="","",COUNTIFS(Data!$I:$I,"Reyna",Data!$J:$J,"Referral",Data!$C:$C,A105))</f>
        <v/>
      </c>
      <c r="J105" t="str">
        <f>IF(A105="","",COUNTIFS(Data!$I:$I,"Reyna",Data!$J:$J,"Transfer",Data!$C:$C,A105))</f>
        <v/>
      </c>
      <c r="K105" t="str">
        <f t="shared" si="2"/>
        <v/>
      </c>
    </row>
    <row r="106" spans="2:11" x14ac:dyDescent="0.25">
      <c r="B106" t="str">
        <f>IF(A106="","",COUNTIFS(Data!$I:$I,"Kirk",Data!$J:$J,"Onboarded",Data!$C:$C,A106))</f>
        <v/>
      </c>
      <c r="C106" t="str">
        <f>IF(A106="","",COUNTIFS(Data!$I:$I,"Kirk",Data!$J:$J,"Referral",Data!$C:$C,A106))</f>
        <v/>
      </c>
      <c r="D106" t="str">
        <f>IF(A106="","",COUNTIFS(Data!$I:$I,"Kirk",Data!$J:$J,"Transfer",Data!$C:$C,A106))</f>
        <v/>
      </c>
      <c r="E106" t="str">
        <f>IF(A106="","",COUNTIFS(Data!$I:$I,"Justin",Data!$J:$J,"Onboarded",Data!$C:$C,A106))</f>
        <v/>
      </c>
      <c r="F106" t="str">
        <f>IF(A106="","",COUNTIFS(Data!$I:$I,"Justin",Data!$J:$J,"Referral",Data!$C:$C,A106))</f>
        <v/>
      </c>
      <c r="G106" t="str">
        <f>IF(A106="","",COUNTIFS(Data!$I:$I,"Justin",Data!$J:$J,"Transfer",Data!$C:$C,A106))</f>
        <v/>
      </c>
      <c r="H106" t="str">
        <f>IF(A106="","",COUNTIFS(Data!$I:$I,"Reyna",Data!$J:$J,"Onboarded",Data!$C:$C,A106))</f>
        <v/>
      </c>
      <c r="I106" t="str">
        <f>IF(A106="","",COUNTIFS(Data!$I:$I,"Reyna",Data!$J:$J,"Referral",Data!$C:$C,A106))</f>
        <v/>
      </c>
      <c r="J106" t="str">
        <f>IF(A106="","",COUNTIFS(Data!$I:$I,"Reyna",Data!$J:$J,"Transfer",Data!$C:$C,A106))</f>
        <v/>
      </c>
      <c r="K106" t="str">
        <f t="shared" ref="K106:K137" si="3">IF(A106="","",SUM(B106:J106))</f>
        <v/>
      </c>
    </row>
    <row r="107" spans="2:11" x14ac:dyDescent="0.25">
      <c r="B107" t="str">
        <f>IF(A107="","",COUNTIFS(Data!$I:$I,"Kirk",Data!$J:$J,"Onboarded",Data!$C:$C,A107))</f>
        <v/>
      </c>
      <c r="C107" t="str">
        <f>IF(A107="","",COUNTIFS(Data!$I:$I,"Kirk",Data!$J:$J,"Referral",Data!$C:$C,A107))</f>
        <v/>
      </c>
      <c r="D107" t="str">
        <f>IF(A107="","",COUNTIFS(Data!$I:$I,"Kirk",Data!$J:$J,"Transfer",Data!$C:$C,A107))</f>
        <v/>
      </c>
      <c r="E107" t="str">
        <f>IF(A107="","",COUNTIFS(Data!$I:$I,"Justin",Data!$J:$J,"Onboarded",Data!$C:$C,A107))</f>
        <v/>
      </c>
      <c r="F107" t="str">
        <f>IF(A107="","",COUNTIFS(Data!$I:$I,"Justin",Data!$J:$J,"Referral",Data!$C:$C,A107))</f>
        <v/>
      </c>
      <c r="G107" t="str">
        <f>IF(A107="","",COUNTIFS(Data!$I:$I,"Justin",Data!$J:$J,"Transfer",Data!$C:$C,A107))</f>
        <v/>
      </c>
      <c r="H107" t="str">
        <f>IF(A107="","",COUNTIFS(Data!$I:$I,"Reyna",Data!$J:$J,"Onboarded",Data!$C:$C,A107))</f>
        <v/>
      </c>
      <c r="I107" t="str">
        <f>IF(A107="","",COUNTIFS(Data!$I:$I,"Reyna",Data!$J:$J,"Referral",Data!$C:$C,A107))</f>
        <v/>
      </c>
      <c r="J107" t="str">
        <f>IF(A107="","",COUNTIFS(Data!$I:$I,"Reyna",Data!$J:$J,"Transfer",Data!$C:$C,A107))</f>
        <v/>
      </c>
      <c r="K107" t="str">
        <f t="shared" si="3"/>
        <v/>
      </c>
    </row>
    <row r="108" spans="2:11" x14ac:dyDescent="0.25">
      <c r="B108" t="str">
        <f>IF(A108="","",COUNTIFS(Data!$I:$I,"Kirk",Data!$J:$J,"Onboarded",Data!$C:$C,A108))</f>
        <v/>
      </c>
      <c r="C108" t="str">
        <f>IF(A108="","",COUNTIFS(Data!$I:$I,"Kirk",Data!$J:$J,"Referral",Data!$C:$C,A108))</f>
        <v/>
      </c>
      <c r="D108" t="str">
        <f>IF(A108="","",COUNTIFS(Data!$I:$I,"Kirk",Data!$J:$J,"Transfer",Data!$C:$C,A108))</f>
        <v/>
      </c>
      <c r="E108" t="str">
        <f>IF(A108="","",COUNTIFS(Data!$I:$I,"Justin",Data!$J:$J,"Onboarded",Data!$C:$C,A108))</f>
        <v/>
      </c>
      <c r="F108" t="str">
        <f>IF(A108="","",COUNTIFS(Data!$I:$I,"Justin",Data!$J:$J,"Referral",Data!$C:$C,A108))</f>
        <v/>
      </c>
      <c r="G108" t="str">
        <f>IF(A108="","",COUNTIFS(Data!$I:$I,"Justin",Data!$J:$J,"Transfer",Data!$C:$C,A108))</f>
        <v/>
      </c>
      <c r="H108" t="str">
        <f>IF(A108="","",COUNTIFS(Data!$I:$I,"Reyna",Data!$J:$J,"Onboarded",Data!$C:$C,A108))</f>
        <v/>
      </c>
      <c r="I108" t="str">
        <f>IF(A108="","",COUNTIFS(Data!$I:$I,"Reyna",Data!$J:$J,"Referral",Data!$C:$C,A108))</f>
        <v/>
      </c>
      <c r="J108" t="str">
        <f>IF(A108="","",COUNTIFS(Data!$I:$I,"Reyna",Data!$J:$J,"Transfer",Data!$C:$C,A108))</f>
        <v/>
      </c>
      <c r="K108" t="str">
        <f t="shared" si="3"/>
        <v/>
      </c>
    </row>
    <row r="109" spans="2:11" x14ac:dyDescent="0.25">
      <c r="B109" t="str">
        <f>IF(A109="","",COUNTIFS(Data!$I:$I,"Kirk",Data!$J:$J,"Onboarded",Data!$C:$C,A109))</f>
        <v/>
      </c>
      <c r="C109" t="str">
        <f>IF(A109="","",COUNTIFS(Data!$I:$I,"Kirk",Data!$J:$J,"Referral",Data!$C:$C,A109))</f>
        <v/>
      </c>
      <c r="D109" t="str">
        <f>IF(A109="","",COUNTIFS(Data!$I:$I,"Kirk",Data!$J:$J,"Transfer",Data!$C:$C,A109))</f>
        <v/>
      </c>
      <c r="E109" t="str">
        <f>IF(A109="","",COUNTIFS(Data!$I:$I,"Justin",Data!$J:$J,"Onboarded",Data!$C:$C,A109))</f>
        <v/>
      </c>
      <c r="F109" t="str">
        <f>IF(A109="","",COUNTIFS(Data!$I:$I,"Justin",Data!$J:$J,"Referral",Data!$C:$C,A109))</f>
        <v/>
      </c>
      <c r="G109" t="str">
        <f>IF(A109="","",COUNTIFS(Data!$I:$I,"Justin",Data!$J:$J,"Transfer",Data!$C:$C,A109))</f>
        <v/>
      </c>
      <c r="H109" t="str">
        <f>IF(A109="","",COUNTIFS(Data!$I:$I,"Reyna",Data!$J:$J,"Onboarded",Data!$C:$C,A109))</f>
        <v/>
      </c>
      <c r="I109" t="str">
        <f>IF(A109="","",COUNTIFS(Data!$I:$I,"Reyna",Data!$J:$J,"Referral",Data!$C:$C,A109))</f>
        <v/>
      </c>
      <c r="J109" t="str">
        <f>IF(A109="","",COUNTIFS(Data!$I:$I,"Reyna",Data!$J:$J,"Transfer",Data!$C:$C,A109))</f>
        <v/>
      </c>
      <c r="K109" t="str">
        <f t="shared" si="3"/>
        <v/>
      </c>
    </row>
    <row r="110" spans="2:11" x14ac:dyDescent="0.25">
      <c r="B110" t="str">
        <f>IF(A110="","",COUNTIFS(Data!$I:$I,"Kirk",Data!$J:$J,"Onboarded",Data!$C:$C,A110))</f>
        <v/>
      </c>
      <c r="C110" t="str">
        <f>IF(A110="","",COUNTIFS(Data!$I:$I,"Kirk",Data!$J:$J,"Referral",Data!$C:$C,A110))</f>
        <v/>
      </c>
      <c r="D110" t="str">
        <f>IF(A110="","",COUNTIFS(Data!$I:$I,"Kirk",Data!$J:$J,"Transfer",Data!$C:$C,A110))</f>
        <v/>
      </c>
      <c r="E110" t="str">
        <f>IF(A110="","",COUNTIFS(Data!$I:$I,"Justin",Data!$J:$J,"Onboarded",Data!$C:$C,A110))</f>
        <v/>
      </c>
      <c r="F110" t="str">
        <f>IF(A110="","",COUNTIFS(Data!$I:$I,"Justin",Data!$J:$J,"Referral",Data!$C:$C,A110))</f>
        <v/>
      </c>
      <c r="G110" t="str">
        <f>IF(A110="","",COUNTIFS(Data!$I:$I,"Justin",Data!$J:$J,"Transfer",Data!$C:$C,A110))</f>
        <v/>
      </c>
      <c r="H110" t="str">
        <f>IF(A110="","",COUNTIFS(Data!$I:$I,"Reyna",Data!$J:$J,"Onboarded",Data!$C:$C,A110))</f>
        <v/>
      </c>
      <c r="I110" t="str">
        <f>IF(A110="","",COUNTIFS(Data!$I:$I,"Reyna",Data!$J:$J,"Referral",Data!$C:$C,A110))</f>
        <v/>
      </c>
      <c r="J110" t="str">
        <f>IF(A110="","",COUNTIFS(Data!$I:$I,"Reyna",Data!$J:$J,"Transfer",Data!$C:$C,A110))</f>
        <v/>
      </c>
      <c r="K110" t="str">
        <f t="shared" si="3"/>
        <v/>
      </c>
    </row>
    <row r="111" spans="2:11" x14ac:dyDescent="0.25">
      <c r="B111" t="str">
        <f>IF(A111="","",COUNTIFS(Data!$I:$I,"Kirk",Data!$J:$J,"Onboarded",Data!$C:$C,A111))</f>
        <v/>
      </c>
      <c r="C111" t="str">
        <f>IF(A111="","",COUNTIFS(Data!$I:$I,"Kirk",Data!$J:$J,"Referral",Data!$C:$C,A111))</f>
        <v/>
      </c>
      <c r="D111" t="str">
        <f>IF(A111="","",COUNTIFS(Data!$I:$I,"Kirk",Data!$J:$J,"Transfer",Data!$C:$C,A111))</f>
        <v/>
      </c>
      <c r="E111" t="str">
        <f>IF(A111="","",COUNTIFS(Data!$I:$I,"Justin",Data!$J:$J,"Onboarded",Data!$C:$C,A111))</f>
        <v/>
      </c>
      <c r="F111" t="str">
        <f>IF(A111="","",COUNTIFS(Data!$I:$I,"Justin",Data!$J:$J,"Referral",Data!$C:$C,A111))</f>
        <v/>
      </c>
      <c r="G111" t="str">
        <f>IF(A111="","",COUNTIFS(Data!$I:$I,"Justin",Data!$J:$J,"Transfer",Data!$C:$C,A111))</f>
        <v/>
      </c>
      <c r="H111" t="str">
        <f>IF(A111="","",COUNTIFS(Data!$I:$I,"Reyna",Data!$J:$J,"Onboarded",Data!$C:$C,A111))</f>
        <v/>
      </c>
      <c r="I111" t="str">
        <f>IF(A111="","",COUNTIFS(Data!$I:$I,"Reyna",Data!$J:$J,"Referral",Data!$C:$C,A111))</f>
        <v/>
      </c>
      <c r="J111" t="str">
        <f>IF(A111="","",COUNTIFS(Data!$I:$I,"Reyna",Data!$J:$J,"Transfer",Data!$C:$C,A111))</f>
        <v/>
      </c>
      <c r="K111" t="str">
        <f t="shared" si="3"/>
        <v/>
      </c>
    </row>
    <row r="112" spans="2:11" x14ac:dyDescent="0.25">
      <c r="B112" t="str">
        <f>IF(A112="","",COUNTIFS(Data!$I:$I,"Kirk",Data!$J:$J,"Onboarded",Data!$C:$C,A112))</f>
        <v/>
      </c>
      <c r="C112" t="str">
        <f>IF(A112="","",COUNTIFS(Data!$I:$I,"Kirk",Data!$J:$J,"Referral",Data!$C:$C,A112))</f>
        <v/>
      </c>
      <c r="D112" t="str">
        <f>IF(A112="","",COUNTIFS(Data!$I:$I,"Kirk",Data!$J:$J,"Transfer",Data!$C:$C,A112))</f>
        <v/>
      </c>
      <c r="E112" t="str">
        <f>IF(A112="","",COUNTIFS(Data!$I:$I,"Justin",Data!$J:$J,"Onboarded",Data!$C:$C,A112))</f>
        <v/>
      </c>
      <c r="F112" t="str">
        <f>IF(A112="","",COUNTIFS(Data!$I:$I,"Justin",Data!$J:$J,"Referral",Data!$C:$C,A112))</f>
        <v/>
      </c>
      <c r="G112" t="str">
        <f>IF(A112="","",COUNTIFS(Data!$I:$I,"Justin",Data!$J:$J,"Transfer",Data!$C:$C,A112))</f>
        <v/>
      </c>
      <c r="H112" t="str">
        <f>IF(A112="","",COUNTIFS(Data!$I:$I,"Reyna",Data!$J:$J,"Onboarded",Data!$C:$C,A112))</f>
        <v/>
      </c>
      <c r="I112" t="str">
        <f>IF(A112="","",COUNTIFS(Data!$I:$I,"Reyna",Data!$J:$J,"Referral",Data!$C:$C,A112))</f>
        <v/>
      </c>
      <c r="J112" t="str">
        <f>IF(A112="","",COUNTIFS(Data!$I:$I,"Reyna",Data!$J:$J,"Transfer",Data!$C:$C,A112))</f>
        <v/>
      </c>
      <c r="K112" t="str">
        <f t="shared" si="3"/>
        <v/>
      </c>
    </row>
    <row r="113" spans="2:11" x14ac:dyDescent="0.25">
      <c r="B113" t="str">
        <f>IF(A113="","",COUNTIFS(Data!$I:$I,"Kirk",Data!$J:$J,"Onboarded",Data!$C:$C,A113))</f>
        <v/>
      </c>
      <c r="C113" t="str">
        <f>IF(A113="","",COUNTIFS(Data!$I:$I,"Kirk",Data!$J:$J,"Referral",Data!$C:$C,A113))</f>
        <v/>
      </c>
      <c r="D113" t="str">
        <f>IF(A113="","",COUNTIFS(Data!$I:$I,"Kirk",Data!$J:$J,"Transfer",Data!$C:$C,A113))</f>
        <v/>
      </c>
      <c r="E113" t="str">
        <f>IF(A113="","",COUNTIFS(Data!$I:$I,"Justin",Data!$J:$J,"Onboarded",Data!$C:$C,A113))</f>
        <v/>
      </c>
      <c r="F113" t="str">
        <f>IF(A113="","",COUNTIFS(Data!$I:$I,"Justin",Data!$J:$J,"Referral",Data!$C:$C,A113))</f>
        <v/>
      </c>
      <c r="G113" t="str">
        <f>IF(A113="","",COUNTIFS(Data!$I:$I,"Justin",Data!$J:$J,"Transfer",Data!$C:$C,A113))</f>
        <v/>
      </c>
      <c r="H113" t="str">
        <f>IF(A113="","",COUNTIFS(Data!$I:$I,"Reyna",Data!$J:$J,"Onboarded",Data!$C:$C,A113))</f>
        <v/>
      </c>
      <c r="I113" t="str">
        <f>IF(A113="","",COUNTIFS(Data!$I:$I,"Reyna",Data!$J:$J,"Referral",Data!$C:$C,A113))</f>
        <v/>
      </c>
      <c r="J113" t="str">
        <f>IF(A113="","",COUNTIFS(Data!$I:$I,"Reyna",Data!$J:$J,"Transfer",Data!$C:$C,A113))</f>
        <v/>
      </c>
      <c r="K113" t="str">
        <f t="shared" si="3"/>
        <v/>
      </c>
    </row>
    <row r="114" spans="2:11" x14ac:dyDescent="0.25">
      <c r="B114" t="str">
        <f>IF(A114="","",COUNTIFS(Data!$I:$I,"Kirk",Data!$J:$J,"Onboarded",Data!$C:$C,A114))</f>
        <v/>
      </c>
      <c r="C114" t="str">
        <f>IF(A114="","",COUNTIFS(Data!$I:$I,"Kirk",Data!$J:$J,"Referral",Data!$C:$C,A114))</f>
        <v/>
      </c>
      <c r="D114" t="str">
        <f>IF(A114="","",COUNTIFS(Data!$I:$I,"Kirk",Data!$J:$J,"Transfer",Data!$C:$C,A114))</f>
        <v/>
      </c>
      <c r="E114" t="str">
        <f>IF(A114="","",COUNTIFS(Data!$I:$I,"Justin",Data!$J:$J,"Onboarded",Data!$C:$C,A114))</f>
        <v/>
      </c>
      <c r="F114" t="str">
        <f>IF(A114="","",COUNTIFS(Data!$I:$I,"Justin",Data!$J:$J,"Referral",Data!$C:$C,A114))</f>
        <v/>
      </c>
      <c r="G114" t="str">
        <f>IF(A114="","",COUNTIFS(Data!$I:$I,"Justin",Data!$J:$J,"Transfer",Data!$C:$C,A114))</f>
        <v/>
      </c>
      <c r="H114" t="str">
        <f>IF(A114="","",COUNTIFS(Data!$I:$I,"Reyna",Data!$J:$J,"Onboarded",Data!$C:$C,A114))</f>
        <v/>
      </c>
      <c r="I114" t="str">
        <f>IF(A114="","",COUNTIFS(Data!$I:$I,"Reyna",Data!$J:$J,"Referral",Data!$C:$C,A114))</f>
        <v/>
      </c>
      <c r="J114" t="str">
        <f>IF(A114="","",COUNTIFS(Data!$I:$I,"Reyna",Data!$J:$J,"Transfer",Data!$C:$C,A114))</f>
        <v/>
      </c>
      <c r="K114" t="str">
        <f t="shared" si="3"/>
        <v/>
      </c>
    </row>
    <row r="115" spans="2:11" x14ac:dyDescent="0.25">
      <c r="B115" t="str">
        <f>IF(A115="","",COUNTIFS(Data!$I:$I,"Kirk",Data!$J:$J,"Onboarded",Data!$C:$C,A115))</f>
        <v/>
      </c>
      <c r="C115" t="str">
        <f>IF(A115="","",COUNTIFS(Data!$I:$I,"Kirk",Data!$J:$J,"Referral",Data!$C:$C,A115))</f>
        <v/>
      </c>
      <c r="D115" t="str">
        <f>IF(A115="","",COUNTIFS(Data!$I:$I,"Kirk",Data!$J:$J,"Transfer",Data!$C:$C,A115))</f>
        <v/>
      </c>
      <c r="E115" t="str">
        <f>IF(A115="","",COUNTIFS(Data!$I:$I,"Justin",Data!$J:$J,"Onboarded",Data!$C:$C,A115))</f>
        <v/>
      </c>
      <c r="F115" t="str">
        <f>IF(A115="","",COUNTIFS(Data!$I:$I,"Justin",Data!$J:$J,"Referral",Data!$C:$C,A115))</f>
        <v/>
      </c>
      <c r="G115" t="str">
        <f>IF(A115="","",COUNTIFS(Data!$I:$I,"Justin",Data!$J:$J,"Transfer",Data!$C:$C,A115))</f>
        <v/>
      </c>
      <c r="H115" t="str">
        <f>IF(A115="","",COUNTIFS(Data!$I:$I,"Reyna",Data!$J:$J,"Onboarded",Data!$C:$C,A115))</f>
        <v/>
      </c>
      <c r="I115" t="str">
        <f>IF(A115="","",COUNTIFS(Data!$I:$I,"Reyna",Data!$J:$J,"Referral",Data!$C:$C,A115))</f>
        <v/>
      </c>
      <c r="J115" t="str">
        <f>IF(A115="","",COUNTIFS(Data!$I:$I,"Reyna",Data!$J:$J,"Transfer",Data!$C:$C,A115))</f>
        <v/>
      </c>
      <c r="K115" t="str">
        <f t="shared" si="3"/>
        <v/>
      </c>
    </row>
    <row r="116" spans="2:11" x14ac:dyDescent="0.25">
      <c r="B116" t="str">
        <f>IF(A116="","",COUNTIFS(Data!$I:$I,"Kirk",Data!$J:$J,"Onboarded",Data!$C:$C,A116))</f>
        <v/>
      </c>
      <c r="C116" t="str">
        <f>IF(A116="","",COUNTIFS(Data!$I:$I,"Kirk",Data!$J:$J,"Referral",Data!$C:$C,A116))</f>
        <v/>
      </c>
      <c r="D116" t="str">
        <f>IF(A116="","",COUNTIFS(Data!$I:$I,"Kirk",Data!$J:$J,"Transfer",Data!$C:$C,A116))</f>
        <v/>
      </c>
      <c r="E116" t="str">
        <f>IF(A116="","",COUNTIFS(Data!$I:$I,"Justin",Data!$J:$J,"Onboarded",Data!$C:$C,A116))</f>
        <v/>
      </c>
      <c r="F116" t="str">
        <f>IF(A116="","",COUNTIFS(Data!$I:$I,"Justin",Data!$J:$J,"Referral",Data!$C:$C,A116))</f>
        <v/>
      </c>
      <c r="G116" t="str">
        <f>IF(A116="","",COUNTIFS(Data!$I:$I,"Justin",Data!$J:$J,"Transfer",Data!$C:$C,A116))</f>
        <v/>
      </c>
      <c r="H116" t="str">
        <f>IF(A116="","",COUNTIFS(Data!$I:$I,"Reyna",Data!$J:$J,"Onboarded",Data!$C:$C,A116))</f>
        <v/>
      </c>
      <c r="I116" t="str">
        <f>IF(A116="","",COUNTIFS(Data!$I:$I,"Reyna",Data!$J:$J,"Referral",Data!$C:$C,A116))</f>
        <v/>
      </c>
      <c r="J116" t="str">
        <f>IF(A116="","",COUNTIFS(Data!$I:$I,"Reyna",Data!$J:$J,"Transfer",Data!$C:$C,A116))</f>
        <v/>
      </c>
      <c r="K116" t="str">
        <f t="shared" si="3"/>
        <v/>
      </c>
    </row>
    <row r="117" spans="2:11" x14ac:dyDescent="0.25">
      <c r="B117" t="str">
        <f>IF(A117="","",COUNTIFS(Data!$I:$I,"Kirk",Data!$J:$J,"Onboarded",Data!$C:$C,A117))</f>
        <v/>
      </c>
      <c r="C117" t="str">
        <f>IF(A117="","",COUNTIFS(Data!$I:$I,"Kirk",Data!$J:$J,"Referral",Data!$C:$C,A117))</f>
        <v/>
      </c>
      <c r="D117" t="str">
        <f>IF(A117="","",COUNTIFS(Data!$I:$I,"Kirk",Data!$J:$J,"Transfer",Data!$C:$C,A117))</f>
        <v/>
      </c>
      <c r="E117" t="str">
        <f>IF(A117="","",COUNTIFS(Data!$I:$I,"Justin",Data!$J:$J,"Onboarded",Data!$C:$C,A117))</f>
        <v/>
      </c>
      <c r="F117" t="str">
        <f>IF(A117="","",COUNTIFS(Data!$I:$I,"Justin",Data!$J:$J,"Referral",Data!$C:$C,A117))</f>
        <v/>
      </c>
      <c r="G117" t="str">
        <f>IF(A117="","",COUNTIFS(Data!$I:$I,"Justin",Data!$J:$J,"Transfer",Data!$C:$C,A117))</f>
        <v/>
      </c>
      <c r="H117" t="str">
        <f>IF(A117="","",COUNTIFS(Data!$I:$I,"Reyna",Data!$J:$J,"Onboarded",Data!$C:$C,A117))</f>
        <v/>
      </c>
      <c r="I117" t="str">
        <f>IF(A117="","",COUNTIFS(Data!$I:$I,"Reyna",Data!$J:$J,"Referral",Data!$C:$C,A117))</f>
        <v/>
      </c>
      <c r="J117" t="str">
        <f>IF(A117="","",COUNTIFS(Data!$I:$I,"Reyna",Data!$J:$J,"Transfer",Data!$C:$C,A117))</f>
        <v/>
      </c>
      <c r="K117" t="str">
        <f t="shared" si="3"/>
        <v/>
      </c>
    </row>
    <row r="118" spans="2:11" x14ac:dyDescent="0.25">
      <c r="B118" t="str">
        <f>IF(A118="","",COUNTIFS(Data!$I:$I,"Kirk",Data!$J:$J,"Onboarded",Data!$C:$C,A118))</f>
        <v/>
      </c>
      <c r="C118" t="str">
        <f>IF(A118="","",COUNTIFS(Data!$I:$I,"Kirk",Data!$J:$J,"Referral",Data!$C:$C,A118))</f>
        <v/>
      </c>
      <c r="D118" t="str">
        <f>IF(A118="","",COUNTIFS(Data!$I:$I,"Kirk",Data!$J:$J,"Transfer",Data!$C:$C,A118))</f>
        <v/>
      </c>
      <c r="E118" t="str">
        <f>IF(A118="","",COUNTIFS(Data!$I:$I,"Justin",Data!$J:$J,"Onboarded",Data!$C:$C,A118))</f>
        <v/>
      </c>
      <c r="F118" t="str">
        <f>IF(A118="","",COUNTIFS(Data!$I:$I,"Justin",Data!$J:$J,"Referral",Data!$C:$C,A118))</f>
        <v/>
      </c>
      <c r="G118" t="str">
        <f>IF(A118="","",COUNTIFS(Data!$I:$I,"Justin",Data!$J:$J,"Transfer",Data!$C:$C,A118))</f>
        <v/>
      </c>
      <c r="H118" t="str">
        <f>IF(A118="","",COUNTIFS(Data!$I:$I,"Reyna",Data!$J:$J,"Onboarded",Data!$C:$C,A118))</f>
        <v/>
      </c>
      <c r="I118" t="str">
        <f>IF(A118="","",COUNTIFS(Data!$I:$I,"Reyna",Data!$J:$J,"Referral",Data!$C:$C,A118))</f>
        <v/>
      </c>
      <c r="J118" t="str">
        <f>IF(A118="","",COUNTIFS(Data!$I:$I,"Reyna",Data!$J:$J,"Transfer",Data!$C:$C,A118))</f>
        <v/>
      </c>
      <c r="K118" t="str">
        <f t="shared" si="3"/>
        <v/>
      </c>
    </row>
    <row r="119" spans="2:11" x14ac:dyDescent="0.25">
      <c r="B119" t="str">
        <f>IF(A119="","",COUNTIFS(Data!$I:$I,"Kirk",Data!$J:$J,"Onboarded",Data!$C:$C,A119))</f>
        <v/>
      </c>
      <c r="C119" t="str">
        <f>IF(A119="","",COUNTIFS(Data!$I:$I,"Kirk",Data!$J:$J,"Referral",Data!$C:$C,A119))</f>
        <v/>
      </c>
      <c r="D119" t="str">
        <f>IF(A119="","",COUNTIFS(Data!$I:$I,"Kirk",Data!$J:$J,"Transfer",Data!$C:$C,A119))</f>
        <v/>
      </c>
      <c r="E119" t="str">
        <f>IF(A119="","",COUNTIFS(Data!$I:$I,"Justin",Data!$J:$J,"Onboarded",Data!$C:$C,A119))</f>
        <v/>
      </c>
      <c r="F119" t="str">
        <f>IF(A119="","",COUNTIFS(Data!$I:$I,"Justin",Data!$J:$J,"Referral",Data!$C:$C,A119))</f>
        <v/>
      </c>
      <c r="G119" t="str">
        <f>IF(A119="","",COUNTIFS(Data!$I:$I,"Justin",Data!$J:$J,"Transfer",Data!$C:$C,A119))</f>
        <v/>
      </c>
      <c r="H119" t="str">
        <f>IF(A119="","",COUNTIFS(Data!$I:$I,"Reyna",Data!$J:$J,"Onboarded",Data!$C:$C,A119))</f>
        <v/>
      </c>
      <c r="I119" t="str">
        <f>IF(A119="","",COUNTIFS(Data!$I:$I,"Reyna",Data!$J:$J,"Referral",Data!$C:$C,A119))</f>
        <v/>
      </c>
      <c r="J119" t="str">
        <f>IF(A119="","",COUNTIFS(Data!$I:$I,"Reyna",Data!$J:$J,"Transfer",Data!$C:$C,A119))</f>
        <v/>
      </c>
      <c r="K119" t="str">
        <f t="shared" si="3"/>
        <v/>
      </c>
    </row>
    <row r="120" spans="2:11" x14ac:dyDescent="0.25">
      <c r="B120" t="str">
        <f>IF(A120="","",COUNTIFS(Data!$I:$I,"Kirk",Data!$J:$J,"Onboarded",Data!$C:$C,A120))</f>
        <v/>
      </c>
      <c r="C120" t="str">
        <f>IF(A120="","",COUNTIFS(Data!$I:$I,"Kirk",Data!$J:$J,"Referral",Data!$C:$C,A120))</f>
        <v/>
      </c>
      <c r="D120" t="str">
        <f>IF(A120="","",COUNTIFS(Data!$I:$I,"Kirk",Data!$J:$J,"Transfer",Data!$C:$C,A120))</f>
        <v/>
      </c>
      <c r="E120" t="str">
        <f>IF(A120="","",COUNTIFS(Data!$I:$I,"Justin",Data!$J:$J,"Onboarded",Data!$C:$C,A120))</f>
        <v/>
      </c>
      <c r="F120" t="str">
        <f>IF(A120="","",COUNTIFS(Data!$I:$I,"Justin",Data!$J:$J,"Referral",Data!$C:$C,A120))</f>
        <v/>
      </c>
      <c r="G120" t="str">
        <f>IF(A120="","",COUNTIFS(Data!$I:$I,"Justin",Data!$J:$J,"Transfer",Data!$C:$C,A120))</f>
        <v/>
      </c>
      <c r="H120" t="str">
        <f>IF(A120="","",COUNTIFS(Data!$I:$I,"Reyna",Data!$J:$J,"Onboarded",Data!$C:$C,A120))</f>
        <v/>
      </c>
      <c r="I120" t="str">
        <f>IF(A120="","",COUNTIFS(Data!$I:$I,"Reyna",Data!$J:$J,"Referral",Data!$C:$C,A120))</f>
        <v/>
      </c>
      <c r="J120" t="str">
        <f>IF(A120="","",COUNTIFS(Data!$I:$I,"Reyna",Data!$J:$J,"Transfer",Data!$C:$C,A120))</f>
        <v/>
      </c>
      <c r="K120" t="str">
        <f t="shared" si="3"/>
        <v/>
      </c>
    </row>
    <row r="121" spans="2:11" x14ac:dyDescent="0.25">
      <c r="B121" t="str">
        <f>IF(A121="","",COUNTIFS(Data!$I:$I,"Kirk",Data!$J:$J,"Onboarded",Data!$C:$C,A121))</f>
        <v/>
      </c>
      <c r="C121" t="str">
        <f>IF(A121="","",COUNTIFS(Data!$I:$I,"Kirk",Data!$J:$J,"Referral",Data!$C:$C,A121))</f>
        <v/>
      </c>
      <c r="D121" t="str">
        <f>IF(A121="","",COUNTIFS(Data!$I:$I,"Kirk",Data!$J:$J,"Transfer",Data!$C:$C,A121))</f>
        <v/>
      </c>
      <c r="E121" t="str">
        <f>IF(A121="","",COUNTIFS(Data!$I:$I,"Justin",Data!$J:$J,"Onboarded",Data!$C:$C,A121))</f>
        <v/>
      </c>
      <c r="F121" t="str">
        <f>IF(A121="","",COUNTIFS(Data!$I:$I,"Justin",Data!$J:$J,"Referral",Data!$C:$C,A121))</f>
        <v/>
      </c>
      <c r="G121" t="str">
        <f>IF(A121="","",COUNTIFS(Data!$I:$I,"Justin",Data!$J:$J,"Transfer",Data!$C:$C,A121))</f>
        <v/>
      </c>
      <c r="H121" t="str">
        <f>IF(A121="","",COUNTIFS(Data!$I:$I,"Reyna",Data!$J:$J,"Onboarded",Data!$C:$C,A121))</f>
        <v/>
      </c>
      <c r="I121" t="str">
        <f>IF(A121="","",COUNTIFS(Data!$I:$I,"Reyna",Data!$J:$J,"Referral",Data!$C:$C,A121))</f>
        <v/>
      </c>
      <c r="J121" t="str">
        <f>IF(A121="","",COUNTIFS(Data!$I:$I,"Reyna",Data!$J:$J,"Transfer",Data!$C:$C,A121))</f>
        <v/>
      </c>
      <c r="K121" t="str">
        <f t="shared" si="3"/>
        <v/>
      </c>
    </row>
    <row r="122" spans="2:11" x14ac:dyDescent="0.25">
      <c r="B122" t="str">
        <f>IF(A122="","",COUNTIFS(Data!$I:$I,"Kirk",Data!$J:$J,"Onboarded",Data!$C:$C,A122))</f>
        <v/>
      </c>
      <c r="C122" t="str">
        <f>IF(A122="","",COUNTIFS(Data!$I:$I,"Kirk",Data!$J:$J,"Referral",Data!$C:$C,A122))</f>
        <v/>
      </c>
      <c r="D122" t="str">
        <f>IF(A122="","",COUNTIFS(Data!$I:$I,"Kirk",Data!$J:$J,"Transfer",Data!$C:$C,A122))</f>
        <v/>
      </c>
      <c r="E122" t="str">
        <f>IF(A122="","",COUNTIFS(Data!$I:$I,"Justin",Data!$J:$J,"Onboarded",Data!$C:$C,A122))</f>
        <v/>
      </c>
      <c r="F122" t="str">
        <f>IF(A122="","",COUNTIFS(Data!$I:$I,"Justin",Data!$J:$J,"Referral",Data!$C:$C,A122))</f>
        <v/>
      </c>
      <c r="G122" t="str">
        <f>IF(A122="","",COUNTIFS(Data!$I:$I,"Justin",Data!$J:$J,"Transfer",Data!$C:$C,A122))</f>
        <v/>
      </c>
      <c r="H122" t="str">
        <f>IF(A122="","",COUNTIFS(Data!$I:$I,"Reyna",Data!$J:$J,"Onboarded",Data!$C:$C,A122))</f>
        <v/>
      </c>
      <c r="I122" t="str">
        <f>IF(A122="","",COUNTIFS(Data!$I:$I,"Reyna",Data!$J:$J,"Referral",Data!$C:$C,A122))</f>
        <v/>
      </c>
      <c r="J122" t="str">
        <f>IF(A122="","",COUNTIFS(Data!$I:$I,"Reyna",Data!$J:$J,"Transfer",Data!$C:$C,A122))</f>
        <v/>
      </c>
      <c r="K122" t="str">
        <f t="shared" si="3"/>
        <v/>
      </c>
    </row>
    <row r="123" spans="2:11" x14ac:dyDescent="0.25">
      <c r="B123" t="str">
        <f>IF(A123="","",COUNTIFS(Data!$I:$I,"Kirk",Data!$J:$J,"Onboarded",Data!$C:$C,A123))</f>
        <v/>
      </c>
      <c r="C123" t="str">
        <f>IF(A123="","",COUNTIFS(Data!$I:$I,"Kirk",Data!$J:$J,"Referral",Data!$C:$C,A123))</f>
        <v/>
      </c>
      <c r="D123" t="str">
        <f>IF(A123="","",COUNTIFS(Data!$I:$I,"Kirk",Data!$J:$J,"Transfer",Data!$C:$C,A123))</f>
        <v/>
      </c>
      <c r="E123" t="str">
        <f>IF(A123="","",COUNTIFS(Data!$I:$I,"Justin",Data!$J:$J,"Onboarded",Data!$C:$C,A123))</f>
        <v/>
      </c>
      <c r="F123" t="str">
        <f>IF(A123="","",COUNTIFS(Data!$I:$I,"Justin",Data!$J:$J,"Referral",Data!$C:$C,A123))</f>
        <v/>
      </c>
      <c r="G123" t="str">
        <f>IF(A123="","",COUNTIFS(Data!$I:$I,"Justin",Data!$J:$J,"Transfer",Data!$C:$C,A123))</f>
        <v/>
      </c>
      <c r="H123" t="str">
        <f>IF(A123="","",COUNTIFS(Data!$I:$I,"Reyna",Data!$J:$J,"Onboarded",Data!$C:$C,A123))</f>
        <v/>
      </c>
      <c r="I123" t="str">
        <f>IF(A123="","",COUNTIFS(Data!$I:$I,"Reyna",Data!$J:$J,"Referral",Data!$C:$C,A123))</f>
        <v/>
      </c>
      <c r="J123" t="str">
        <f>IF(A123="","",COUNTIFS(Data!$I:$I,"Reyna",Data!$J:$J,"Transfer",Data!$C:$C,A123))</f>
        <v/>
      </c>
      <c r="K123" t="str">
        <f t="shared" si="3"/>
        <v/>
      </c>
    </row>
    <row r="124" spans="2:11" x14ac:dyDescent="0.25">
      <c r="B124" t="str">
        <f>IF(A124="","",COUNTIFS(Data!$I:$I,"Kirk",Data!$J:$J,"Onboarded",Data!$C:$C,A124))</f>
        <v/>
      </c>
      <c r="C124" t="str">
        <f>IF(A124="","",COUNTIFS(Data!$I:$I,"Kirk",Data!$J:$J,"Referral",Data!$C:$C,A124))</f>
        <v/>
      </c>
      <c r="D124" t="str">
        <f>IF(A124="","",COUNTIFS(Data!$I:$I,"Kirk",Data!$J:$J,"Transfer",Data!$C:$C,A124))</f>
        <v/>
      </c>
      <c r="E124" t="str">
        <f>IF(A124="","",COUNTIFS(Data!$I:$I,"Justin",Data!$J:$J,"Onboarded",Data!$C:$C,A124))</f>
        <v/>
      </c>
      <c r="F124" t="str">
        <f>IF(A124="","",COUNTIFS(Data!$I:$I,"Justin",Data!$J:$J,"Referral",Data!$C:$C,A124))</f>
        <v/>
      </c>
      <c r="G124" t="str">
        <f>IF(A124="","",COUNTIFS(Data!$I:$I,"Justin",Data!$J:$J,"Transfer",Data!$C:$C,A124))</f>
        <v/>
      </c>
      <c r="H124" t="str">
        <f>IF(A124="","",COUNTIFS(Data!$I:$I,"Reyna",Data!$J:$J,"Onboarded",Data!$C:$C,A124))</f>
        <v/>
      </c>
      <c r="I124" t="str">
        <f>IF(A124="","",COUNTIFS(Data!$I:$I,"Reyna",Data!$J:$J,"Referral",Data!$C:$C,A124))</f>
        <v/>
      </c>
      <c r="J124" t="str">
        <f>IF(A124="","",COUNTIFS(Data!$I:$I,"Reyna",Data!$J:$J,"Transfer",Data!$C:$C,A124))</f>
        <v/>
      </c>
      <c r="K124" t="str">
        <f t="shared" si="3"/>
        <v/>
      </c>
    </row>
    <row r="125" spans="2:11" x14ac:dyDescent="0.25">
      <c r="B125" t="str">
        <f>IF(A125="","",COUNTIFS(Data!$I:$I,"Kirk",Data!$J:$J,"Onboarded",Data!$C:$C,A125))</f>
        <v/>
      </c>
      <c r="C125" t="str">
        <f>IF(A125="","",COUNTIFS(Data!$I:$I,"Kirk",Data!$J:$J,"Referral",Data!$C:$C,A125))</f>
        <v/>
      </c>
      <c r="D125" t="str">
        <f>IF(A125="","",COUNTIFS(Data!$I:$I,"Kirk",Data!$J:$J,"Transfer",Data!$C:$C,A125))</f>
        <v/>
      </c>
      <c r="E125" t="str">
        <f>IF(A125="","",COUNTIFS(Data!$I:$I,"Justin",Data!$J:$J,"Onboarded",Data!$C:$C,A125))</f>
        <v/>
      </c>
      <c r="F125" t="str">
        <f>IF(A125="","",COUNTIFS(Data!$I:$I,"Justin",Data!$J:$J,"Referral",Data!$C:$C,A125))</f>
        <v/>
      </c>
      <c r="G125" t="str">
        <f>IF(A125="","",COUNTIFS(Data!$I:$I,"Justin",Data!$J:$J,"Transfer",Data!$C:$C,A125))</f>
        <v/>
      </c>
      <c r="H125" t="str">
        <f>IF(A125="","",COUNTIFS(Data!$I:$I,"Reyna",Data!$J:$J,"Onboarded",Data!$C:$C,A125))</f>
        <v/>
      </c>
      <c r="I125" t="str">
        <f>IF(A125="","",COUNTIFS(Data!$I:$I,"Reyna",Data!$J:$J,"Referral",Data!$C:$C,A125))</f>
        <v/>
      </c>
      <c r="J125" t="str">
        <f>IF(A125="","",COUNTIFS(Data!$I:$I,"Reyna",Data!$J:$J,"Transfer",Data!$C:$C,A125))</f>
        <v/>
      </c>
      <c r="K125" t="str">
        <f t="shared" si="3"/>
        <v/>
      </c>
    </row>
    <row r="126" spans="2:11" x14ac:dyDescent="0.25">
      <c r="B126" t="str">
        <f>IF(A126="","",COUNTIFS(Data!$I:$I,"Kirk",Data!$J:$J,"Onboarded",Data!$C:$C,A126))</f>
        <v/>
      </c>
      <c r="C126" t="str">
        <f>IF(A126="","",COUNTIFS(Data!$I:$I,"Kirk",Data!$J:$J,"Referral",Data!$C:$C,A126))</f>
        <v/>
      </c>
      <c r="D126" t="str">
        <f>IF(A126="","",COUNTIFS(Data!$I:$I,"Kirk",Data!$J:$J,"Transfer",Data!$C:$C,A126))</f>
        <v/>
      </c>
      <c r="E126" t="str">
        <f>IF(A126="","",COUNTIFS(Data!$I:$I,"Justin",Data!$J:$J,"Onboarded",Data!$C:$C,A126))</f>
        <v/>
      </c>
      <c r="F126" t="str">
        <f>IF(A126="","",COUNTIFS(Data!$I:$I,"Justin",Data!$J:$J,"Referral",Data!$C:$C,A126))</f>
        <v/>
      </c>
      <c r="G126" t="str">
        <f>IF(A126="","",COUNTIFS(Data!$I:$I,"Justin",Data!$J:$J,"Transfer",Data!$C:$C,A126))</f>
        <v/>
      </c>
      <c r="H126" t="str">
        <f>IF(A126="","",COUNTIFS(Data!$I:$I,"Reyna",Data!$J:$J,"Onboarded",Data!$C:$C,A126))</f>
        <v/>
      </c>
      <c r="I126" t="str">
        <f>IF(A126="","",COUNTIFS(Data!$I:$I,"Reyna",Data!$J:$J,"Referral",Data!$C:$C,A126))</f>
        <v/>
      </c>
      <c r="J126" t="str">
        <f>IF(A126="","",COUNTIFS(Data!$I:$I,"Reyna",Data!$J:$J,"Transfer",Data!$C:$C,A126))</f>
        <v/>
      </c>
      <c r="K126" t="str">
        <f t="shared" si="3"/>
        <v/>
      </c>
    </row>
    <row r="127" spans="2:11" x14ac:dyDescent="0.25">
      <c r="B127" t="str">
        <f>IF(A127="","",COUNTIFS(Data!$I:$I,"Kirk",Data!$J:$J,"Onboarded",Data!$C:$C,A127))</f>
        <v/>
      </c>
      <c r="C127" t="str">
        <f>IF(A127="","",COUNTIFS(Data!$I:$I,"Kirk",Data!$J:$J,"Referral",Data!$C:$C,A127))</f>
        <v/>
      </c>
      <c r="D127" t="str">
        <f>IF(A127="","",COUNTIFS(Data!$I:$I,"Kirk",Data!$J:$J,"Transfer",Data!$C:$C,A127))</f>
        <v/>
      </c>
      <c r="E127" t="str">
        <f>IF(A127="","",COUNTIFS(Data!$I:$I,"Justin",Data!$J:$J,"Onboarded",Data!$C:$C,A127))</f>
        <v/>
      </c>
      <c r="F127" t="str">
        <f>IF(A127="","",COUNTIFS(Data!$I:$I,"Justin",Data!$J:$J,"Referral",Data!$C:$C,A127))</f>
        <v/>
      </c>
      <c r="G127" t="str">
        <f>IF(A127="","",COUNTIFS(Data!$I:$I,"Justin",Data!$J:$J,"Transfer",Data!$C:$C,A127))</f>
        <v/>
      </c>
      <c r="H127" t="str">
        <f>IF(A127="","",COUNTIFS(Data!$I:$I,"Reyna",Data!$J:$J,"Onboarded",Data!$C:$C,A127))</f>
        <v/>
      </c>
      <c r="I127" t="str">
        <f>IF(A127="","",COUNTIFS(Data!$I:$I,"Reyna",Data!$J:$J,"Referral",Data!$C:$C,A127))</f>
        <v/>
      </c>
      <c r="J127" t="str">
        <f>IF(A127="","",COUNTIFS(Data!$I:$I,"Reyna",Data!$J:$J,"Transfer",Data!$C:$C,A127))</f>
        <v/>
      </c>
      <c r="K127" t="str">
        <f t="shared" si="3"/>
        <v/>
      </c>
    </row>
    <row r="128" spans="2:11" x14ac:dyDescent="0.25">
      <c r="B128" t="str">
        <f>IF(A128="","",COUNTIFS(Data!$I:$I,"Kirk",Data!$J:$J,"Onboarded",Data!$C:$C,A128))</f>
        <v/>
      </c>
      <c r="C128" t="str">
        <f>IF(A128="","",COUNTIFS(Data!$I:$I,"Kirk",Data!$J:$J,"Referral",Data!$C:$C,A128))</f>
        <v/>
      </c>
      <c r="D128" t="str">
        <f>IF(A128="","",COUNTIFS(Data!$I:$I,"Kirk",Data!$J:$J,"Transfer",Data!$C:$C,A128))</f>
        <v/>
      </c>
      <c r="E128" t="str">
        <f>IF(A128="","",COUNTIFS(Data!$I:$I,"Justin",Data!$J:$J,"Onboarded",Data!$C:$C,A128))</f>
        <v/>
      </c>
      <c r="F128" t="str">
        <f>IF(A128="","",COUNTIFS(Data!$I:$I,"Justin",Data!$J:$J,"Referral",Data!$C:$C,A128))</f>
        <v/>
      </c>
      <c r="G128" t="str">
        <f>IF(A128="","",COUNTIFS(Data!$I:$I,"Justin",Data!$J:$J,"Transfer",Data!$C:$C,A128))</f>
        <v/>
      </c>
      <c r="H128" t="str">
        <f>IF(A128="","",COUNTIFS(Data!$I:$I,"Reyna",Data!$J:$J,"Onboarded",Data!$C:$C,A128))</f>
        <v/>
      </c>
      <c r="I128" t="str">
        <f>IF(A128="","",COUNTIFS(Data!$I:$I,"Reyna",Data!$J:$J,"Referral",Data!$C:$C,A128))</f>
        <v/>
      </c>
      <c r="J128" t="str">
        <f>IF(A128="","",COUNTIFS(Data!$I:$I,"Reyna",Data!$J:$J,"Transfer",Data!$C:$C,A128))</f>
        <v/>
      </c>
      <c r="K128" t="str">
        <f t="shared" si="3"/>
        <v/>
      </c>
    </row>
    <row r="129" spans="2:11" x14ac:dyDescent="0.25">
      <c r="B129" t="str">
        <f>IF(A129="","",COUNTIFS(Data!$I:$I,"Kirk",Data!$J:$J,"Onboarded",Data!$C:$C,A129))</f>
        <v/>
      </c>
      <c r="C129" t="str">
        <f>IF(A129="","",COUNTIFS(Data!$I:$I,"Kirk",Data!$J:$J,"Referral",Data!$C:$C,A129))</f>
        <v/>
      </c>
      <c r="D129" t="str">
        <f>IF(A129="","",COUNTIFS(Data!$I:$I,"Kirk",Data!$J:$J,"Transfer",Data!$C:$C,A129))</f>
        <v/>
      </c>
      <c r="E129" t="str">
        <f>IF(A129="","",COUNTIFS(Data!$I:$I,"Justin",Data!$J:$J,"Onboarded",Data!$C:$C,A129))</f>
        <v/>
      </c>
      <c r="F129" t="str">
        <f>IF(A129="","",COUNTIFS(Data!$I:$I,"Justin",Data!$J:$J,"Referral",Data!$C:$C,A129))</f>
        <v/>
      </c>
      <c r="G129" t="str">
        <f>IF(A129="","",COUNTIFS(Data!$I:$I,"Justin",Data!$J:$J,"Transfer",Data!$C:$C,A129))</f>
        <v/>
      </c>
      <c r="H129" t="str">
        <f>IF(A129="","",COUNTIFS(Data!$I:$I,"Reyna",Data!$J:$J,"Onboarded",Data!$C:$C,A129))</f>
        <v/>
      </c>
      <c r="I129" t="str">
        <f>IF(A129="","",COUNTIFS(Data!$I:$I,"Reyna",Data!$J:$J,"Referral",Data!$C:$C,A129))</f>
        <v/>
      </c>
      <c r="J129" t="str">
        <f>IF(A129="","",COUNTIFS(Data!$I:$I,"Reyna",Data!$J:$J,"Transfer",Data!$C:$C,A129))</f>
        <v/>
      </c>
      <c r="K129" t="str">
        <f t="shared" si="3"/>
        <v/>
      </c>
    </row>
    <row r="130" spans="2:11" x14ac:dyDescent="0.25">
      <c r="B130" t="str">
        <f>IF(A130="","",COUNTIFS(Data!$I:$I,"Kirk",Data!$J:$J,"Onboarded",Data!$C:$C,A130))</f>
        <v/>
      </c>
      <c r="C130" t="str">
        <f>IF(A130="","",COUNTIFS(Data!$I:$I,"Kirk",Data!$J:$J,"Referral",Data!$C:$C,A130))</f>
        <v/>
      </c>
      <c r="D130" t="str">
        <f>IF(A130="","",COUNTIFS(Data!$I:$I,"Kirk",Data!$J:$J,"Transfer",Data!$C:$C,A130))</f>
        <v/>
      </c>
      <c r="E130" t="str">
        <f>IF(A130="","",COUNTIFS(Data!$I:$I,"Justin",Data!$J:$J,"Onboarded",Data!$C:$C,A130))</f>
        <v/>
      </c>
      <c r="F130" t="str">
        <f>IF(A130="","",COUNTIFS(Data!$I:$I,"Justin",Data!$J:$J,"Referral",Data!$C:$C,A130))</f>
        <v/>
      </c>
      <c r="G130" t="str">
        <f>IF(A130="","",COUNTIFS(Data!$I:$I,"Justin",Data!$J:$J,"Transfer",Data!$C:$C,A130))</f>
        <v/>
      </c>
      <c r="H130" t="str">
        <f>IF(A130="","",COUNTIFS(Data!$I:$I,"Reyna",Data!$J:$J,"Onboarded",Data!$C:$C,A130))</f>
        <v/>
      </c>
      <c r="I130" t="str">
        <f>IF(A130="","",COUNTIFS(Data!$I:$I,"Reyna",Data!$J:$J,"Referral",Data!$C:$C,A130))</f>
        <v/>
      </c>
      <c r="J130" t="str">
        <f>IF(A130="","",COUNTIFS(Data!$I:$I,"Reyna",Data!$J:$J,"Transfer",Data!$C:$C,A130))</f>
        <v/>
      </c>
      <c r="K130" t="str">
        <f t="shared" si="3"/>
        <v/>
      </c>
    </row>
    <row r="131" spans="2:11" x14ac:dyDescent="0.25">
      <c r="B131" t="str">
        <f>IF(A131="","",COUNTIFS(Data!$I:$I,"Kirk",Data!$J:$J,"Onboarded",Data!$C:$C,A131))</f>
        <v/>
      </c>
      <c r="C131" t="str">
        <f>IF(A131="","",COUNTIFS(Data!$I:$I,"Kirk",Data!$J:$J,"Referral",Data!$C:$C,A131))</f>
        <v/>
      </c>
      <c r="D131" t="str">
        <f>IF(A131="","",COUNTIFS(Data!$I:$I,"Kirk",Data!$J:$J,"Transfer",Data!$C:$C,A131))</f>
        <v/>
      </c>
      <c r="E131" t="str">
        <f>IF(A131="","",COUNTIFS(Data!$I:$I,"Justin",Data!$J:$J,"Onboarded",Data!$C:$C,A131))</f>
        <v/>
      </c>
      <c r="F131" t="str">
        <f>IF(A131="","",COUNTIFS(Data!$I:$I,"Justin",Data!$J:$J,"Referral",Data!$C:$C,A131))</f>
        <v/>
      </c>
      <c r="G131" t="str">
        <f>IF(A131="","",COUNTIFS(Data!$I:$I,"Justin",Data!$J:$J,"Transfer",Data!$C:$C,A131))</f>
        <v/>
      </c>
      <c r="H131" t="str">
        <f>IF(A131="","",COUNTIFS(Data!$I:$I,"Reyna",Data!$J:$J,"Onboarded",Data!$C:$C,A131))</f>
        <v/>
      </c>
      <c r="I131" t="str">
        <f>IF(A131="","",COUNTIFS(Data!$I:$I,"Reyna",Data!$J:$J,"Referral",Data!$C:$C,A131))</f>
        <v/>
      </c>
      <c r="J131" t="str">
        <f>IF(A131="","",COUNTIFS(Data!$I:$I,"Reyna",Data!$J:$J,"Transfer",Data!$C:$C,A131))</f>
        <v/>
      </c>
      <c r="K131" t="str">
        <f t="shared" si="3"/>
        <v/>
      </c>
    </row>
    <row r="132" spans="2:11" x14ac:dyDescent="0.25">
      <c r="B132" t="str">
        <f>IF(A132="","",COUNTIFS(Data!$I:$I,"Kirk",Data!$J:$J,"Onboarded",Data!$C:$C,A132))</f>
        <v/>
      </c>
      <c r="C132" t="str">
        <f>IF(A132="","",COUNTIFS(Data!$I:$I,"Kirk",Data!$J:$J,"Referral",Data!$C:$C,A132))</f>
        <v/>
      </c>
      <c r="D132" t="str">
        <f>IF(A132="","",COUNTIFS(Data!$I:$I,"Kirk",Data!$J:$J,"Transfer",Data!$C:$C,A132))</f>
        <v/>
      </c>
      <c r="E132" t="str">
        <f>IF(A132="","",COUNTIFS(Data!$I:$I,"Justin",Data!$J:$J,"Onboarded",Data!$C:$C,A132))</f>
        <v/>
      </c>
      <c r="F132" t="str">
        <f>IF(A132="","",COUNTIFS(Data!$I:$I,"Justin",Data!$J:$J,"Referral",Data!$C:$C,A132))</f>
        <v/>
      </c>
      <c r="G132" t="str">
        <f>IF(A132="","",COUNTIFS(Data!$I:$I,"Justin",Data!$J:$J,"Transfer",Data!$C:$C,A132))</f>
        <v/>
      </c>
      <c r="H132" t="str">
        <f>IF(A132="","",COUNTIFS(Data!$I:$I,"Reyna",Data!$J:$J,"Onboarded",Data!$C:$C,A132))</f>
        <v/>
      </c>
      <c r="I132" t="str">
        <f>IF(A132="","",COUNTIFS(Data!$I:$I,"Reyna",Data!$J:$J,"Referral",Data!$C:$C,A132))</f>
        <v/>
      </c>
      <c r="J132" t="str">
        <f>IF(A132="","",COUNTIFS(Data!$I:$I,"Reyna",Data!$J:$J,"Transfer",Data!$C:$C,A132))</f>
        <v/>
      </c>
      <c r="K132" t="str">
        <f t="shared" si="3"/>
        <v/>
      </c>
    </row>
    <row r="133" spans="2:11" x14ac:dyDescent="0.25">
      <c r="B133" t="str">
        <f>IF(A133="","",COUNTIFS(Data!$I:$I,"Kirk",Data!$J:$J,"Onboarded",Data!$C:$C,A133))</f>
        <v/>
      </c>
      <c r="C133" t="str">
        <f>IF(A133="","",COUNTIFS(Data!$I:$I,"Kirk",Data!$J:$J,"Referral",Data!$C:$C,A133))</f>
        <v/>
      </c>
      <c r="D133" t="str">
        <f>IF(A133="","",COUNTIFS(Data!$I:$I,"Kirk",Data!$J:$J,"Transfer",Data!$C:$C,A133))</f>
        <v/>
      </c>
      <c r="E133" t="str">
        <f>IF(A133="","",COUNTIFS(Data!$I:$I,"Justin",Data!$J:$J,"Onboarded",Data!$C:$C,A133))</f>
        <v/>
      </c>
      <c r="F133" t="str">
        <f>IF(A133="","",COUNTIFS(Data!$I:$I,"Justin",Data!$J:$J,"Referral",Data!$C:$C,A133))</f>
        <v/>
      </c>
      <c r="G133" t="str">
        <f>IF(A133="","",COUNTIFS(Data!$I:$I,"Justin",Data!$J:$J,"Transfer",Data!$C:$C,A133))</f>
        <v/>
      </c>
      <c r="H133" t="str">
        <f>IF(A133="","",COUNTIFS(Data!$I:$I,"Reyna",Data!$J:$J,"Onboarded",Data!$C:$C,A133))</f>
        <v/>
      </c>
      <c r="I133" t="str">
        <f>IF(A133="","",COUNTIFS(Data!$I:$I,"Reyna",Data!$J:$J,"Referral",Data!$C:$C,A133))</f>
        <v/>
      </c>
      <c r="J133" t="str">
        <f>IF(A133="","",COUNTIFS(Data!$I:$I,"Reyna",Data!$J:$J,"Transfer",Data!$C:$C,A133))</f>
        <v/>
      </c>
      <c r="K133" t="str">
        <f t="shared" si="3"/>
        <v/>
      </c>
    </row>
    <row r="134" spans="2:11" x14ac:dyDescent="0.25">
      <c r="B134" t="str">
        <f>IF(A134="","",COUNTIFS(Data!$I:$I,"Kirk",Data!$J:$J,"Onboarded",Data!$C:$C,A134))</f>
        <v/>
      </c>
      <c r="C134" t="str">
        <f>IF(A134="","",COUNTIFS(Data!$I:$I,"Kirk",Data!$J:$J,"Referral",Data!$C:$C,A134))</f>
        <v/>
      </c>
      <c r="D134" t="str">
        <f>IF(A134="","",COUNTIFS(Data!$I:$I,"Kirk",Data!$J:$J,"Transfer",Data!$C:$C,A134))</f>
        <v/>
      </c>
      <c r="E134" t="str">
        <f>IF(A134="","",COUNTIFS(Data!$I:$I,"Justin",Data!$J:$J,"Onboarded",Data!$C:$C,A134))</f>
        <v/>
      </c>
      <c r="F134" t="str">
        <f>IF(A134="","",COUNTIFS(Data!$I:$I,"Justin",Data!$J:$J,"Referral",Data!$C:$C,A134))</f>
        <v/>
      </c>
      <c r="G134" t="str">
        <f>IF(A134="","",COUNTIFS(Data!$I:$I,"Justin",Data!$J:$J,"Transfer",Data!$C:$C,A134))</f>
        <v/>
      </c>
      <c r="H134" t="str">
        <f>IF(A134="","",COUNTIFS(Data!$I:$I,"Reyna",Data!$J:$J,"Onboarded",Data!$C:$C,A134))</f>
        <v/>
      </c>
      <c r="I134" t="str">
        <f>IF(A134="","",COUNTIFS(Data!$I:$I,"Reyna",Data!$J:$J,"Referral",Data!$C:$C,A134))</f>
        <v/>
      </c>
      <c r="J134" t="str">
        <f>IF(A134="","",COUNTIFS(Data!$I:$I,"Reyna",Data!$J:$J,"Transfer",Data!$C:$C,A134))</f>
        <v/>
      </c>
      <c r="K134" t="str">
        <f t="shared" si="3"/>
        <v/>
      </c>
    </row>
    <row r="135" spans="2:11" x14ac:dyDescent="0.25">
      <c r="B135" t="str">
        <f>IF(A135="","",COUNTIFS(Data!$I:$I,"Kirk",Data!$J:$J,"Onboarded",Data!$C:$C,A135))</f>
        <v/>
      </c>
      <c r="C135" t="str">
        <f>IF(A135="","",COUNTIFS(Data!$I:$I,"Kirk",Data!$J:$J,"Referral",Data!$C:$C,A135))</f>
        <v/>
      </c>
      <c r="D135" t="str">
        <f>IF(A135="","",COUNTIFS(Data!$I:$I,"Kirk",Data!$J:$J,"Transfer",Data!$C:$C,A135))</f>
        <v/>
      </c>
      <c r="E135" t="str">
        <f>IF(A135="","",COUNTIFS(Data!$I:$I,"Justin",Data!$J:$J,"Onboarded",Data!$C:$C,A135))</f>
        <v/>
      </c>
      <c r="F135" t="str">
        <f>IF(A135="","",COUNTIFS(Data!$I:$I,"Justin",Data!$J:$J,"Referral",Data!$C:$C,A135))</f>
        <v/>
      </c>
      <c r="G135" t="str">
        <f>IF(A135="","",COUNTIFS(Data!$I:$I,"Justin",Data!$J:$J,"Transfer",Data!$C:$C,A135))</f>
        <v/>
      </c>
      <c r="H135" t="str">
        <f>IF(A135="","",COUNTIFS(Data!$I:$I,"Reyna",Data!$J:$J,"Onboarded",Data!$C:$C,A135))</f>
        <v/>
      </c>
      <c r="I135" t="str">
        <f>IF(A135="","",COUNTIFS(Data!$I:$I,"Reyna",Data!$J:$J,"Referral",Data!$C:$C,A135))</f>
        <v/>
      </c>
      <c r="J135" t="str">
        <f>IF(A135="","",COUNTIFS(Data!$I:$I,"Reyna",Data!$J:$J,"Transfer",Data!$C:$C,A135))</f>
        <v/>
      </c>
      <c r="K135" t="str">
        <f t="shared" si="3"/>
        <v/>
      </c>
    </row>
    <row r="136" spans="2:11" x14ac:dyDescent="0.25">
      <c r="B136" t="str">
        <f>IF(A136="","",COUNTIFS(Data!$I:$I,"Kirk",Data!$J:$J,"Onboarded",Data!$C:$C,A136))</f>
        <v/>
      </c>
      <c r="C136" t="str">
        <f>IF(A136="","",COUNTIFS(Data!$I:$I,"Kirk",Data!$J:$J,"Referral",Data!$C:$C,A136))</f>
        <v/>
      </c>
      <c r="D136" t="str">
        <f>IF(A136="","",COUNTIFS(Data!$I:$I,"Kirk",Data!$J:$J,"Transfer",Data!$C:$C,A136))</f>
        <v/>
      </c>
      <c r="E136" t="str">
        <f>IF(A136="","",COUNTIFS(Data!$I:$I,"Justin",Data!$J:$J,"Onboarded",Data!$C:$C,A136))</f>
        <v/>
      </c>
      <c r="F136" t="str">
        <f>IF(A136="","",COUNTIFS(Data!$I:$I,"Justin",Data!$J:$J,"Referral",Data!$C:$C,A136))</f>
        <v/>
      </c>
      <c r="G136" t="str">
        <f>IF(A136="","",COUNTIFS(Data!$I:$I,"Justin",Data!$J:$J,"Transfer",Data!$C:$C,A136))</f>
        <v/>
      </c>
      <c r="H136" t="str">
        <f>IF(A136="","",COUNTIFS(Data!$I:$I,"Reyna",Data!$J:$J,"Onboarded",Data!$C:$C,A136))</f>
        <v/>
      </c>
      <c r="I136" t="str">
        <f>IF(A136="","",COUNTIFS(Data!$I:$I,"Reyna",Data!$J:$J,"Referral",Data!$C:$C,A136))</f>
        <v/>
      </c>
      <c r="J136" t="str">
        <f>IF(A136="","",COUNTIFS(Data!$I:$I,"Reyna",Data!$J:$J,"Transfer",Data!$C:$C,A136))</f>
        <v/>
      </c>
      <c r="K136" t="str">
        <f t="shared" si="3"/>
        <v/>
      </c>
    </row>
    <row r="137" spans="2:11" x14ac:dyDescent="0.25">
      <c r="B137" t="str">
        <f>IF(A137="","",COUNTIFS(Data!$I:$I,"Kirk",Data!$J:$J,"Onboarded",Data!$C:$C,A137))</f>
        <v/>
      </c>
      <c r="C137" t="str">
        <f>IF(A137="","",COUNTIFS(Data!$I:$I,"Kirk",Data!$J:$J,"Referral",Data!$C:$C,A137))</f>
        <v/>
      </c>
      <c r="D137" t="str">
        <f>IF(A137="","",COUNTIFS(Data!$I:$I,"Kirk",Data!$J:$J,"Transfer",Data!$C:$C,A137))</f>
        <v/>
      </c>
      <c r="E137" t="str">
        <f>IF(A137="","",COUNTIFS(Data!$I:$I,"Justin",Data!$J:$J,"Onboarded",Data!$C:$C,A137))</f>
        <v/>
      </c>
      <c r="F137" t="str">
        <f>IF(A137="","",COUNTIFS(Data!$I:$I,"Justin",Data!$J:$J,"Referral",Data!$C:$C,A137))</f>
        <v/>
      </c>
      <c r="G137" t="str">
        <f>IF(A137="","",COUNTIFS(Data!$I:$I,"Justin",Data!$J:$J,"Transfer",Data!$C:$C,A137))</f>
        <v/>
      </c>
      <c r="H137" t="str">
        <f>IF(A137="","",COUNTIFS(Data!$I:$I,"Reyna",Data!$J:$J,"Onboarded",Data!$C:$C,A137))</f>
        <v/>
      </c>
      <c r="I137" t="str">
        <f>IF(A137="","",COUNTIFS(Data!$I:$I,"Reyna",Data!$J:$J,"Referral",Data!$C:$C,A137))</f>
        <v/>
      </c>
      <c r="J137" t="str">
        <f>IF(A137="","",COUNTIFS(Data!$I:$I,"Reyna",Data!$J:$J,"Transfer",Data!$C:$C,A137))</f>
        <v/>
      </c>
      <c r="K137" t="str">
        <f t="shared" si="3"/>
        <v/>
      </c>
    </row>
    <row r="138" spans="2:11" x14ac:dyDescent="0.25">
      <c r="B138" t="str">
        <f>IF(A138="","",COUNTIFS(Data!$I:$I,"Kirk",Data!$J:$J,"Onboarded",Data!$C:$C,A138))</f>
        <v/>
      </c>
      <c r="C138" t="str">
        <f>IF(A138="","",COUNTIFS(Data!$I:$I,"Kirk",Data!$J:$J,"Referral",Data!$C:$C,A138))</f>
        <v/>
      </c>
      <c r="D138" t="str">
        <f>IF(A138="","",COUNTIFS(Data!$I:$I,"Kirk",Data!$J:$J,"Transfer",Data!$C:$C,A138))</f>
        <v/>
      </c>
      <c r="E138" t="str">
        <f>IF(A138="","",COUNTIFS(Data!$I:$I,"Justin",Data!$J:$J,"Onboarded",Data!$C:$C,A138))</f>
        <v/>
      </c>
      <c r="F138" t="str">
        <f>IF(A138="","",COUNTIFS(Data!$I:$I,"Justin",Data!$J:$J,"Referral",Data!$C:$C,A138))</f>
        <v/>
      </c>
      <c r="G138" t="str">
        <f>IF(A138="","",COUNTIFS(Data!$I:$I,"Justin",Data!$J:$J,"Transfer",Data!$C:$C,A138))</f>
        <v/>
      </c>
      <c r="H138" t="str">
        <f>IF(A138="","",COUNTIFS(Data!$I:$I,"Reyna",Data!$J:$J,"Onboarded",Data!$C:$C,A138))</f>
        <v/>
      </c>
      <c r="I138" t="str">
        <f>IF(A138="","",COUNTIFS(Data!$I:$I,"Reyna",Data!$J:$J,"Referral",Data!$C:$C,A138))</f>
        <v/>
      </c>
      <c r="J138" t="str">
        <f>IF(A138="","",COUNTIFS(Data!$I:$I,"Reyna",Data!$J:$J,"Transfer",Data!$C:$C,A138))</f>
        <v/>
      </c>
      <c r="K138" t="str">
        <f t="shared" ref="K138:K169" si="4">IF(A138="","",SUM(B138:J138))</f>
        <v/>
      </c>
    </row>
    <row r="139" spans="2:11" x14ac:dyDescent="0.25">
      <c r="B139" t="str">
        <f>IF(A139="","",COUNTIFS(Data!$I:$I,"Kirk",Data!$J:$J,"Onboarded",Data!$C:$C,A139))</f>
        <v/>
      </c>
      <c r="C139" t="str">
        <f>IF(A139="","",COUNTIFS(Data!$I:$I,"Kirk",Data!$J:$J,"Referral",Data!$C:$C,A139))</f>
        <v/>
      </c>
      <c r="D139" t="str">
        <f>IF(A139="","",COUNTIFS(Data!$I:$I,"Kirk",Data!$J:$J,"Transfer",Data!$C:$C,A139))</f>
        <v/>
      </c>
      <c r="E139" t="str">
        <f>IF(A139="","",COUNTIFS(Data!$I:$I,"Justin",Data!$J:$J,"Onboarded",Data!$C:$C,A139))</f>
        <v/>
      </c>
      <c r="F139" t="str">
        <f>IF(A139="","",COUNTIFS(Data!$I:$I,"Justin",Data!$J:$J,"Referral",Data!$C:$C,A139))</f>
        <v/>
      </c>
      <c r="G139" t="str">
        <f>IF(A139="","",COUNTIFS(Data!$I:$I,"Justin",Data!$J:$J,"Transfer",Data!$C:$C,A139))</f>
        <v/>
      </c>
      <c r="H139" t="str">
        <f>IF(A139="","",COUNTIFS(Data!$I:$I,"Reyna",Data!$J:$J,"Onboarded",Data!$C:$C,A139))</f>
        <v/>
      </c>
      <c r="I139" t="str">
        <f>IF(A139="","",COUNTIFS(Data!$I:$I,"Reyna",Data!$J:$J,"Referral",Data!$C:$C,A139))</f>
        <v/>
      </c>
      <c r="J139" t="str">
        <f>IF(A139="","",COUNTIFS(Data!$I:$I,"Reyna",Data!$J:$J,"Transfer",Data!$C:$C,A139))</f>
        <v/>
      </c>
      <c r="K139" t="str">
        <f t="shared" si="4"/>
        <v/>
      </c>
    </row>
    <row r="140" spans="2:11" x14ac:dyDescent="0.25">
      <c r="B140" t="str">
        <f>IF(A140="","",COUNTIFS(Data!$I:$I,"Kirk",Data!$J:$J,"Onboarded",Data!$C:$C,A140))</f>
        <v/>
      </c>
      <c r="C140" t="str">
        <f>IF(A140="","",COUNTIFS(Data!$I:$I,"Kirk",Data!$J:$J,"Referral",Data!$C:$C,A140))</f>
        <v/>
      </c>
      <c r="D140" t="str">
        <f>IF(A140="","",COUNTIFS(Data!$I:$I,"Kirk",Data!$J:$J,"Transfer",Data!$C:$C,A140))</f>
        <v/>
      </c>
      <c r="E140" t="str">
        <f>IF(A140="","",COUNTIFS(Data!$I:$I,"Justin",Data!$J:$J,"Onboarded",Data!$C:$C,A140))</f>
        <v/>
      </c>
      <c r="F140" t="str">
        <f>IF(A140="","",COUNTIFS(Data!$I:$I,"Justin",Data!$J:$J,"Referral",Data!$C:$C,A140))</f>
        <v/>
      </c>
      <c r="G140" t="str">
        <f>IF(A140="","",COUNTIFS(Data!$I:$I,"Justin",Data!$J:$J,"Transfer",Data!$C:$C,A140))</f>
        <v/>
      </c>
      <c r="H140" t="str">
        <f>IF(A140="","",COUNTIFS(Data!$I:$I,"Reyna",Data!$J:$J,"Onboarded",Data!$C:$C,A140))</f>
        <v/>
      </c>
      <c r="I140" t="str">
        <f>IF(A140="","",COUNTIFS(Data!$I:$I,"Reyna",Data!$J:$J,"Referral",Data!$C:$C,A140))</f>
        <v/>
      </c>
      <c r="J140" t="str">
        <f>IF(A140="","",COUNTIFS(Data!$I:$I,"Reyna",Data!$J:$J,"Transfer",Data!$C:$C,A140))</f>
        <v/>
      </c>
      <c r="K140" t="str">
        <f t="shared" si="4"/>
        <v/>
      </c>
    </row>
    <row r="141" spans="2:11" x14ac:dyDescent="0.25">
      <c r="B141" t="str">
        <f>IF(A141="","",COUNTIFS(Data!$I:$I,"Kirk",Data!$J:$J,"Onboarded",Data!$C:$C,A141))</f>
        <v/>
      </c>
      <c r="C141" t="str">
        <f>IF(A141="","",COUNTIFS(Data!$I:$I,"Kirk",Data!$J:$J,"Referral",Data!$C:$C,A141))</f>
        <v/>
      </c>
      <c r="D141" t="str">
        <f>IF(A141="","",COUNTIFS(Data!$I:$I,"Kirk",Data!$J:$J,"Transfer",Data!$C:$C,A141))</f>
        <v/>
      </c>
      <c r="E141" t="str">
        <f>IF(A141="","",COUNTIFS(Data!$I:$I,"Justin",Data!$J:$J,"Onboarded",Data!$C:$C,A141))</f>
        <v/>
      </c>
      <c r="F141" t="str">
        <f>IF(A141="","",COUNTIFS(Data!$I:$I,"Justin",Data!$J:$J,"Referral",Data!$C:$C,A141))</f>
        <v/>
      </c>
      <c r="G141" t="str">
        <f>IF(A141="","",COUNTIFS(Data!$I:$I,"Justin",Data!$J:$J,"Transfer",Data!$C:$C,A141))</f>
        <v/>
      </c>
      <c r="H141" t="str">
        <f>IF(A141="","",COUNTIFS(Data!$I:$I,"Reyna",Data!$J:$J,"Onboarded",Data!$C:$C,A141))</f>
        <v/>
      </c>
      <c r="I141" t="str">
        <f>IF(A141="","",COUNTIFS(Data!$I:$I,"Reyna",Data!$J:$J,"Referral",Data!$C:$C,A141))</f>
        <v/>
      </c>
      <c r="J141" t="str">
        <f>IF(A141="","",COUNTIFS(Data!$I:$I,"Reyna",Data!$J:$J,"Transfer",Data!$C:$C,A141))</f>
        <v/>
      </c>
      <c r="K141" t="str">
        <f t="shared" si="4"/>
        <v/>
      </c>
    </row>
    <row r="142" spans="2:11" x14ac:dyDescent="0.25">
      <c r="B142" t="str">
        <f>IF(A142="","",COUNTIFS(Data!$I:$I,"Kirk",Data!$J:$J,"Onboarded",Data!$C:$C,A142))</f>
        <v/>
      </c>
      <c r="C142" t="str">
        <f>IF(A142="","",COUNTIFS(Data!$I:$I,"Kirk",Data!$J:$J,"Referral",Data!$C:$C,A142))</f>
        <v/>
      </c>
      <c r="D142" t="str">
        <f>IF(A142="","",COUNTIFS(Data!$I:$I,"Kirk",Data!$J:$J,"Transfer",Data!$C:$C,A142))</f>
        <v/>
      </c>
      <c r="E142" t="str">
        <f>IF(A142="","",COUNTIFS(Data!$I:$I,"Justin",Data!$J:$J,"Onboarded",Data!$C:$C,A142))</f>
        <v/>
      </c>
      <c r="F142" t="str">
        <f>IF(A142="","",COUNTIFS(Data!$I:$I,"Justin",Data!$J:$J,"Referral",Data!$C:$C,A142))</f>
        <v/>
      </c>
      <c r="G142" t="str">
        <f>IF(A142="","",COUNTIFS(Data!$I:$I,"Justin",Data!$J:$J,"Transfer",Data!$C:$C,A142))</f>
        <v/>
      </c>
      <c r="H142" t="str">
        <f>IF(A142="","",COUNTIFS(Data!$I:$I,"Reyna",Data!$J:$J,"Onboarded",Data!$C:$C,A142))</f>
        <v/>
      </c>
      <c r="I142" t="str">
        <f>IF(A142="","",COUNTIFS(Data!$I:$I,"Reyna",Data!$J:$J,"Referral",Data!$C:$C,A142))</f>
        <v/>
      </c>
      <c r="J142" t="str">
        <f>IF(A142="","",COUNTIFS(Data!$I:$I,"Reyna",Data!$J:$J,"Transfer",Data!$C:$C,A142))</f>
        <v/>
      </c>
      <c r="K142" t="str">
        <f t="shared" si="4"/>
        <v/>
      </c>
    </row>
    <row r="143" spans="2:11" x14ac:dyDescent="0.25">
      <c r="B143" t="str">
        <f>IF(A143="","",COUNTIFS(Data!$I:$I,"Kirk",Data!$J:$J,"Onboarded",Data!$C:$C,A143))</f>
        <v/>
      </c>
      <c r="C143" t="str">
        <f>IF(A143="","",COUNTIFS(Data!$I:$I,"Kirk",Data!$J:$J,"Referral",Data!$C:$C,A143))</f>
        <v/>
      </c>
      <c r="D143" t="str">
        <f>IF(A143="","",COUNTIFS(Data!$I:$I,"Kirk",Data!$J:$J,"Transfer",Data!$C:$C,A143))</f>
        <v/>
      </c>
      <c r="E143" t="str">
        <f>IF(A143="","",COUNTIFS(Data!$I:$I,"Justin",Data!$J:$J,"Onboarded",Data!$C:$C,A143))</f>
        <v/>
      </c>
      <c r="F143" t="str">
        <f>IF(A143="","",COUNTIFS(Data!$I:$I,"Justin",Data!$J:$J,"Referral",Data!$C:$C,A143))</f>
        <v/>
      </c>
      <c r="G143" t="str">
        <f>IF(A143="","",COUNTIFS(Data!$I:$I,"Justin",Data!$J:$J,"Transfer",Data!$C:$C,A143))</f>
        <v/>
      </c>
      <c r="H143" t="str">
        <f>IF(A143="","",COUNTIFS(Data!$I:$I,"Reyna",Data!$J:$J,"Onboarded",Data!$C:$C,A143))</f>
        <v/>
      </c>
      <c r="I143" t="str">
        <f>IF(A143="","",COUNTIFS(Data!$I:$I,"Reyna",Data!$J:$J,"Referral",Data!$C:$C,A143))</f>
        <v/>
      </c>
      <c r="J143" t="str">
        <f>IF(A143="","",COUNTIFS(Data!$I:$I,"Reyna",Data!$J:$J,"Transfer",Data!$C:$C,A143))</f>
        <v/>
      </c>
      <c r="K143" t="str">
        <f t="shared" si="4"/>
        <v/>
      </c>
    </row>
    <row r="144" spans="2:11" x14ac:dyDescent="0.25">
      <c r="B144" t="str">
        <f>IF(A144="","",COUNTIFS(Data!$I:$I,"Kirk",Data!$J:$J,"Onboarded",Data!$C:$C,A144))</f>
        <v/>
      </c>
      <c r="C144" t="str">
        <f>IF(A144="","",COUNTIFS(Data!$I:$I,"Kirk",Data!$J:$J,"Referral",Data!$C:$C,A144))</f>
        <v/>
      </c>
      <c r="D144" t="str">
        <f>IF(A144="","",COUNTIFS(Data!$I:$I,"Kirk",Data!$J:$J,"Transfer",Data!$C:$C,A144))</f>
        <v/>
      </c>
      <c r="E144" t="str">
        <f>IF(A144="","",COUNTIFS(Data!$I:$I,"Justin",Data!$J:$J,"Onboarded",Data!$C:$C,A144))</f>
        <v/>
      </c>
      <c r="F144" t="str">
        <f>IF(A144="","",COUNTIFS(Data!$I:$I,"Justin",Data!$J:$J,"Referral",Data!$C:$C,A144))</f>
        <v/>
      </c>
      <c r="G144" t="str">
        <f>IF(A144="","",COUNTIFS(Data!$I:$I,"Justin",Data!$J:$J,"Transfer",Data!$C:$C,A144))</f>
        <v/>
      </c>
      <c r="H144" t="str">
        <f>IF(A144="","",COUNTIFS(Data!$I:$I,"Reyna",Data!$J:$J,"Onboarded",Data!$C:$C,A144))</f>
        <v/>
      </c>
      <c r="I144" t="str">
        <f>IF(A144="","",COUNTIFS(Data!$I:$I,"Reyna",Data!$J:$J,"Referral",Data!$C:$C,A144))</f>
        <v/>
      </c>
      <c r="J144" t="str">
        <f>IF(A144="","",COUNTIFS(Data!$I:$I,"Reyna",Data!$J:$J,"Transfer",Data!$C:$C,A144))</f>
        <v/>
      </c>
      <c r="K144" t="str">
        <f t="shared" si="4"/>
        <v/>
      </c>
    </row>
    <row r="145" spans="2:11" x14ac:dyDescent="0.25">
      <c r="B145" t="str">
        <f>IF(A145="","",COUNTIFS(Data!$I:$I,"Kirk",Data!$J:$J,"Onboarded",Data!$C:$C,A145))</f>
        <v/>
      </c>
      <c r="C145" t="str">
        <f>IF(A145="","",COUNTIFS(Data!$I:$I,"Kirk",Data!$J:$J,"Referral",Data!$C:$C,A145))</f>
        <v/>
      </c>
      <c r="D145" t="str">
        <f>IF(A145="","",COUNTIFS(Data!$I:$I,"Kirk",Data!$J:$J,"Transfer",Data!$C:$C,A145))</f>
        <v/>
      </c>
      <c r="E145" t="str">
        <f>IF(A145="","",COUNTIFS(Data!$I:$I,"Justin",Data!$J:$J,"Onboarded",Data!$C:$C,A145))</f>
        <v/>
      </c>
      <c r="F145" t="str">
        <f>IF(A145="","",COUNTIFS(Data!$I:$I,"Justin",Data!$J:$J,"Referral",Data!$C:$C,A145))</f>
        <v/>
      </c>
      <c r="G145" t="str">
        <f>IF(A145="","",COUNTIFS(Data!$I:$I,"Justin",Data!$J:$J,"Transfer",Data!$C:$C,A145))</f>
        <v/>
      </c>
      <c r="H145" t="str">
        <f>IF(A145="","",COUNTIFS(Data!$I:$I,"Reyna",Data!$J:$J,"Onboarded",Data!$C:$C,A145))</f>
        <v/>
      </c>
      <c r="I145" t="str">
        <f>IF(A145="","",COUNTIFS(Data!$I:$I,"Reyna",Data!$J:$J,"Referral",Data!$C:$C,A145))</f>
        <v/>
      </c>
      <c r="J145" t="str">
        <f>IF(A145="","",COUNTIFS(Data!$I:$I,"Reyna",Data!$J:$J,"Transfer",Data!$C:$C,A145))</f>
        <v/>
      </c>
      <c r="K145" t="str">
        <f t="shared" si="4"/>
        <v/>
      </c>
    </row>
    <row r="146" spans="2:11" x14ac:dyDescent="0.25">
      <c r="B146" t="str">
        <f>IF(A146="","",COUNTIFS(Data!$I:$I,"Kirk",Data!$J:$J,"Onboarded",Data!$C:$C,A146))</f>
        <v/>
      </c>
      <c r="C146" t="str">
        <f>IF(A146="","",COUNTIFS(Data!$I:$I,"Kirk",Data!$J:$J,"Referral",Data!$C:$C,A146))</f>
        <v/>
      </c>
      <c r="D146" t="str">
        <f>IF(A146="","",COUNTIFS(Data!$I:$I,"Kirk",Data!$J:$J,"Transfer",Data!$C:$C,A146))</f>
        <v/>
      </c>
      <c r="E146" t="str">
        <f>IF(A146="","",COUNTIFS(Data!$I:$I,"Justin",Data!$J:$J,"Onboarded",Data!$C:$C,A146))</f>
        <v/>
      </c>
      <c r="F146" t="str">
        <f>IF(A146="","",COUNTIFS(Data!$I:$I,"Justin",Data!$J:$J,"Referral",Data!$C:$C,A146))</f>
        <v/>
      </c>
      <c r="G146" t="str">
        <f>IF(A146="","",COUNTIFS(Data!$I:$I,"Justin",Data!$J:$J,"Transfer",Data!$C:$C,A146))</f>
        <v/>
      </c>
      <c r="H146" t="str">
        <f>IF(A146="","",COUNTIFS(Data!$I:$I,"Reyna",Data!$J:$J,"Onboarded",Data!$C:$C,A146))</f>
        <v/>
      </c>
      <c r="I146" t="str">
        <f>IF(A146="","",COUNTIFS(Data!$I:$I,"Reyna",Data!$J:$J,"Referral",Data!$C:$C,A146))</f>
        <v/>
      </c>
      <c r="J146" t="str">
        <f>IF(A146="","",COUNTIFS(Data!$I:$I,"Reyna",Data!$J:$J,"Transfer",Data!$C:$C,A146))</f>
        <v/>
      </c>
      <c r="K146" t="str">
        <f t="shared" si="4"/>
        <v/>
      </c>
    </row>
    <row r="147" spans="2:11" x14ac:dyDescent="0.25">
      <c r="B147" t="str">
        <f>IF(A147="","",COUNTIFS(Data!$I:$I,"Kirk",Data!$J:$J,"Onboarded",Data!$C:$C,A147))</f>
        <v/>
      </c>
      <c r="C147" t="str">
        <f>IF(A147="","",COUNTIFS(Data!$I:$I,"Kirk",Data!$J:$J,"Referral",Data!$C:$C,A147))</f>
        <v/>
      </c>
      <c r="D147" t="str">
        <f>IF(A147="","",COUNTIFS(Data!$I:$I,"Kirk",Data!$J:$J,"Transfer",Data!$C:$C,A147))</f>
        <v/>
      </c>
      <c r="E147" t="str">
        <f>IF(A147="","",COUNTIFS(Data!$I:$I,"Justin",Data!$J:$J,"Onboarded",Data!$C:$C,A147))</f>
        <v/>
      </c>
      <c r="F147" t="str">
        <f>IF(A147="","",COUNTIFS(Data!$I:$I,"Justin",Data!$J:$J,"Referral",Data!$C:$C,A147))</f>
        <v/>
      </c>
      <c r="G147" t="str">
        <f>IF(A147="","",COUNTIFS(Data!$I:$I,"Justin",Data!$J:$J,"Transfer",Data!$C:$C,A147))</f>
        <v/>
      </c>
      <c r="H147" t="str">
        <f>IF(A147="","",COUNTIFS(Data!$I:$I,"Reyna",Data!$J:$J,"Onboarded",Data!$C:$C,A147))</f>
        <v/>
      </c>
      <c r="I147" t="str">
        <f>IF(A147="","",COUNTIFS(Data!$I:$I,"Reyna",Data!$J:$J,"Referral",Data!$C:$C,A147))</f>
        <v/>
      </c>
      <c r="J147" t="str">
        <f>IF(A147="","",COUNTIFS(Data!$I:$I,"Reyna",Data!$J:$J,"Transfer",Data!$C:$C,A147))</f>
        <v/>
      </c>
      <c r="K147" t="str">
        <f t="shared" si="4"/>
        <v/>
      </c>
    </row>
    <row r="148" spans="2:11" x14ac:dyDescent="0.25">
      <c r="B148" t="str">
        <f>IF(A148="","",COUNTIFS(Data!$I:$I,"Kirk",Data!$J:$J,"Onboarded",Data!$C:$C,A148))</f>
        <v/>
      </c>
      <c r="C148" t="str">
        <f>IF(A148="","",COUNTIFS(Data!$I:$I,"Kirk",Data!$J:$J,"Referral",Data!$C:$C,A148))</f>
        <v/>
      </c>
      <c r="D148" t="str">
        <f>IF(A148="","",COUNTIFS(Data!$I:$I,"Kirk",Data!$J:$J,"Transfer",Data!$C:$C,A148))</f>
        <v/>
      </c>
      <c r="E148" t="str">
        <f>IF(A148="","",COUNTIFS(Data!$I:$I,"Justin",Data!$J:$J,"Onboarded",Data!$C:$C,A148))</f>
        <v/>
      </c>
      <c r="F148" t="str">
        <f>IF(A148="","",COUNTIFS(Data!$I:$I,"Justin",Data!$J:$J,"Referral",Data!$C:$C,A148))</f>
        <v/>
      </c>
      <c r="G148" t="str">
        <f>IF(A148="","",COUNTIFS(Data!$I:$I,"Justin",Data!$J:$J,"Transfer",Data!$C:$C,A148))</f>
        <v/>
      </c>
      <c r="H148" t="str">
        <f>IF(A148="","",COUNTIFS(Data!$I:$I,"Reyna",Data!$J:$J,"Onboarded",Data!$C:$C,A148))</f>
        <v/>
      </c>
      <c r="I148" t="str">
        <f>IF(A148="","",COUNTIFS(Data!$I:$I,"Reyna",Data!$J:$J,"Referral",Data!$C:$C,A148))</f>
        <v/>
      </c>
      <c r="J148" t="str">
        <f>IF(A148="","",COUNTIFS(Data!$I:$I,"Reyna",Data!$J:$J,"Transfer",Data!$C:$C,A148))</f>
        <v/>
      </c>
      <c r="K148" t="str">
        <f t="shared" si="4"/>
        <v/>
      </c>
    </row>
    <row r="149" spans="2:11" x14ac:dyDescent="0.25">
      <c r="B149" t="str">
        <f>IF(A149="","",COUNTIFS(Data!$I:$I,"Kirk",Data!$J:$J,"Onboarded",Data!$C:$C,A149))</f>
        <v/>
      </c>
      <c r="C149" t="str">
        <f>IF(A149="","",COUNTIFS(Data!$I:$I,"Kirk",Data!$J:$J,"Referral",Data!$C:$C,A149))</f>
        <v/>
      </c>
      <c r="D149" t="str">
        <f>IF(A149="","",COUNTIFS(Data!$I:$I,"Kirk",Data!$J:$J,"Transfer",Data!$C:$C,A149))</f>
        <v/>
      </c>
      <c r="E149" t="str">
        <f>IF(A149="","",COUNTIFS(Data!$I:$I,"Justin",Data!$J:$J,"Onboarded",Data!$C:$C,A149))</f>
        <v/>
      </c>
      <c r="F149" t="str">
        <f>IF(A149="","",COUNTIFS(Data!$I:$I,"Justin",Data!$J:$J,"Referral",Data!$C:$C,A149))</f>
        <v/>
      </c>
      <c r="G149" t="str">
        <f>IF(A149="","",COUNTIFS(Data!$I:$I,"Justin",Data!$J:$J,"Transfer",Data!$C:$C,A149))</f>
        <v/>
      </c>
      <c r="H149" t="str">
        <f>IF(A149="","",COUNTIFS(Data!$I:$I,"Reyna",Data!$J:$J,"Onboarded",Data!$C:$C,A149))</f>
        <v/>
      </c>
      <c r="I149" t="str">
        <f>IF(A149="","",COUNTIFS(Data!$I:$I,"Reyna",Data!$J:$J,"Referral",Data!$C:$C,A149))</f>
        <v/>
      </c>
      <c r="J149" t="str">
        <f>IF(A149="","",COUNTIFS(Data!$I:$I,"Reyna",Data!$J:$J,"Transfer",Data!$C:$C,A149))</f>
        <v/>
      </c>
      <c r="K149" t="str">
        <f t="shared" si="4"/>
        <v/>
      </c>
    </row>
    <row r="150" spans="2:11" x14ac:dyDescent="0.25">
      <c r="B150" t="str">
        <f>IF(A150="","",COUNTIFS(Data!$I:$I,"Kirk",Data!$J:$J,"Onboarded",Data!$C:$C,A150))</f>
        <v/>
      </c>
      <c r="C150" t="str">
        <f>IF(A150="","",COUNTIFS(Data!$I:$I,"Kirk",Data!$J:$J,"Referral",Data!$C:$C,A150))</f>
        <v/>
      </c>
      <c r="D150" t="str">
        <f>IF(A150="","",COUNTIFS(Data!$I:$I,"Kirk",Data!$J:$J,"Transfer",Data!$C:$C,A150))</f>
        <v/>
      </c>
      <c r="E150" t="str">
        <f>IF(A150="","",COUNTIFS(Data!$I:$I,"Justin",Data!$J:$J,"Onboarded",Data!$C:$C,A150))</f>
        <v/>
      </c>
      <c r="F150" t="str">
        <f>IF(A150="","",COUNTIFS(Data!$I:$I,"Justin",Data!$J:$J,"Referral",Data!$C:$C,A150))</f>
        <v/>
      </c>
      <c r="G150" t="str">
        <f>IF(A150="","",COUNTIFS(Data!$I:$I,"Justin",Data!$J:$J,"Transfer",Data!$C:$C,A150))</f>
        <v/>
      </c>
      <c r="H150" t="str">
        <f>IF(A150="","",COUNTIFS(Data!$I:$I,"Reyna",Data!$J:$J,"Onboarded",Data!$C:$C,A150))</f>
        <v/>
      </c>
      <c r="I150" t="str">
        <f>IF(A150="","",COUNTIFS(Data!$I:$I,"Reyna",Data!$J:$J,"Referral",Data!$C:$C,A150))</f>
        <v/>
      </c>
      <c r="J150" t="str">
        <f>IF(A150="","",COUNTIFS(Data!$I:$I,"Reyna",Data!$J:$J,"Transfer",Data!$C:$C,A150))</f>
        <v/>
      </c>
      <c r="K150" t="str">
        <f t="shared" si="4"/>
        <v/>
      </c>
    </row>
    <row r="151" spans="2:11" x14ac:dyDescent="0.25">
      <c r="B151" t="str">
        <f>IF(A151="","",COUNTIFS(Data!$I:$I,"Kirk",Data!$J:$J,"Onboarded",Data!$C:$C,A151))</f>
        <v/>
      </c>
      <c r="C151" t="str">
        <f>IF(A151="","",COUNTIFS(Data!$I:$I,"Kirk",Data!$J:$J,"Referral",Data!$C:$C,A151))</f>
        <v/>
      </c>
      <c r="D151" t="str">
        <f>IF(A151="","",COUNTIFS(Data!$I:$I,"Kirk",Data!$J:$J,"Transfer",Data!$C:$C,A151))</f>
        <v/>
      </c>
      <c r="E151" t="str">
        <f>IF(A151="","",COUNTIFS(Data!$I:$I,"Justin",Data!$J:$J,"Onboarded",Data!$C:$C,A151))</f>
        <v/>
      </c>
      <c r="F151" t="str">
        <f>IF(A151="","",COUNTIFS(Data!$I:$I,"Justin",Data!$J:$J,"Referral",Data!$C:$C,A151))</f>
        <v/>
      </c>
      <c r="G151" t="str">
        <f>IF(A151="","",COUNTIFS(Data!$I:$I,"Justin",Data!$J:$J,"Transfer",Data!$C:$C,A151))</f>
        <v/>
      </c>
      <c r="H151" t="str">
        <f>IF(A151="","",COUNTIFS(Data!$I:$I,"Reyna",Data!$J:$J,"Onboarded",Data!$C:$C,A151))</f>
        <v/>
      </c>
      <c r="I151" t="str">
        <f>IF(A151="","",COUNTIFS(Data!$I:$I,"Reyna",Data!$J:$J,"Referral",Data!$C:$C,A151))</f>
        <v/>
      </c>
      <c r="J151" t="str">
        <f>IF(A151="","",COUNTIFS(Data!$I:$I,"Reyna",Data!$J:$J,"Transfer",Data!$C:$C,A151))</f>
        <v/>
      </c>
      <c r="K151" t="str">
        <f t="shared" si="4"/>
        <v/>
      </c>
    </row>
    <row r="152" spans="2:11" x14ac:dyDescent="0.25">
      <c r="B152" t="str">
        <f>IF(A152="","",COUNTIFS(Data!$I:$I,"Kirk",Data!$J:$J,"Onboarded",Data!$C:$C,A152))</f>
        <v/>
      </c>
      <c r="C152" t="str">
        <f>IF(A152="","",COUNTIFS(Data!$I:$I,"Kirk",Data!$J:$J,"Referral",Data!$C:$C,A152))</f>
        <v/>
      </c>
      <c r="D152" t="str">
        <f>IF(A152="","",COUNTIFS(Data!$I:$I,"Kirk",Data!$J:$J,"Transfer",Data!$C:$C,A152))</f>
        <v/>
      </c>
      <c r="E152" t="str">
        <f>IF(A152="","",COUNTIFS(Data!$I:$I,"Justin",Data!$J:$J,"Onboarded",Data!$C:$C,A152))</f>
        <v/>
      </c>
      <c r="F152" t="str">
        <f>IF(A152="","",COUNTIFS(Data!$I:$I,"Justin",Data!$J:$J,"Referral",Data!$C:$C,A152))</f>
        <v/>
      </c>
      <c r="G152" t="str">
        <f>IF(A152="","",COUNTIFS(Data!$I:$I,"Justin",Data!$J:$J,"Transfer",Data!$C:$C,A152))</f>
        <v/>
      </c>
      <c r="H152" t="str">
        <f>IF(A152="","",COUNTIFS(Data!$I:$I,"Reyna",Data!$J:$J,"Onboarded",Data!$C:$C,A152))</f>
        <v/>
      </c>
      <c r="I152" t="str">
        <f>IF(A152="","",COUNTIFS(Data!$I:$I,"Reyna",Data!$J:$J,"Referral",Data!$C:$C,A152))</f>
        <v/>
      </c>
      <c r="J152" t="str">
        <f>IF(A152="","",COUNTIFS(Data!$I:$I,"Reyna",Data!$J:$J,"Transfer",Data!$C:$C,A152))</f>
        <v/>
      </c>
      <c r="K152" t="str">
        <f t="shared" si="4"/>
        <v/>
      </c>
    </row>
    <row r="153" spans="2:11" x14ac:dyDescent="0.25">
      <c r="B153" t="str">
        <f>IF(A153="","",COUNTIFS(Data!$I:$I,"Kirk",Data!$J:$J,"Onboarded",Data!$C:$C,A153))</f>
        <v/>
      </c>
      <c r="C153" t="str">
        <f>IF(A153="","",COUNTIFS(Data!$I:$I,"Kirk",Data!$J:$J,"Referral",Data!$C:$C,A153))</f>
        <v/>
      </c>
      <c r="D153" t="str">
        <f>IF(A153="","",COUNTIFS(Data!$I:$I,"Kirk",Data!$J:$J,"Transfer",Data!$C:$C,A153))</f>
        <v/>
      </c>
      <c r="E153" t="str">
        <f>IF(A153="","",COUNTIFS(Data!$I:$I,"Justin",Data!$J:$J,"Onboarded",Data!$C:$C,A153))</f>
        <v/>
      </c>
      <c r="F153" t="str">
        <f>IF(A153="","",COUNTIFS(Data!$I:$I,"Justin",Data!$J:$J,"Referral",Data!$C:$C,A153))</f>
        <v/>
      </c>
      <c r="G153" t="str">
        <f>IF(A153="","",COUNTIFS(Data!$I:$I,"Justin",Data!$J:$J,"Transfer",Data!$C:$C,A153))</f>
        <v/>
      </c>
      <c r="H153" t="str">
        <f>IF(A153="","",COUNTIFS(Data!$I:$I,"Reyna",Data!$J:$J,"Onboarded",Data!$C:$C,A153))</f>
        <v/>
      </c>
      <c r="I153" t="str">
        <f>IF(A153="","",COUNTIFS(Data!$I:$I,"Reyna",Data!$J:$J,"Referral",Data!$C:$C,A153))</f>
        <v/>
      </c>
      <c r="J153" t="str">
        <f>IF(A153="","",COUNTIFS(Data!$I:$I,"Reyna",Data!$J:$J,"Transfer",Data!$C:$C,A153))</f>
        <v/>
      </c>
      <c r="K153" t="str">
        <f t="shared" si="4"/>
        <v/>
      </c>
    </row>
    <row r="154" spans="2:11" x14ac:dyDescent="0.25">
      <c r="B154" t="str">
        <f>IF(A154="","",COUNTIFS(Data!$I:$I,"Kirk",Data!$J:$J,"Onboarded",Data!$C:$C,A154))</f>
        <v/>
      </c>
      <c r="C154" t="str">
        <f>IF(A154="","",COUNTIFS(Data!$I:$I,"Kirk",Data!$J:$J,"Referral",Data!$C:$C,A154))</f>
        <v/>
      </c>
      <c r="D154" t="str">
        <f>IF(A154="","",COUNTIFS(Data!$I:$I,"Kirk",Data!$J:$J,"Transfer",Data!$C:$C,A154))</f>
        <v/>
      </c>
      <c r="E154" t="str">
        <f>IF(A154="","",COUNTIFS(Data!$I:$I,"Justin",Data!$J:$J,"Onboarded",Data!$C:$C,A154))</f>
        <v/>
      </c>
      <c r="F154" t="str">
        <f>IF(A154="","",COUNTIFS(Data!$I:$I,"Justin",Data!$J:$J,"Referral",Data!$C:$C,A154))</f>
        <v/>
      </c>
      <c r="G154" t="str">
        <f>IF(A154="","",COUNTIFS(Data!$I:$I,"Justin",Data!$J:$J,"Transfer",Data!$C:$C,A154))</f>
        <v/>
      </c>
      <c r="H154" t="str">
        <f>IF(A154="","",COUNTIFS(Data!$I:$I,"Reyna",Data!$J:$J,"Onboarded",Data!$C:$C,A154))</f>
        <v/>
      </c>
      <c r="I154" t="str">
        <f>IF(A154="","",COUNTIFS(Data!$I:$I,"Reyna",Data!$J:$J,"Referral",Data!$C:$C,A154))</f>
        <v/>
      </c>
      <c r="J154" t="str">
        <f>IF(A154="","",COUNTIFS(Data!$I:$I,"Reyna",Data!$J:$J,"Transfer",Data!$C:$C,A154))</f>
        <v/>
      </c>
      <c r="K154" t="str">
        <f t="shared" si="4"/>
        <v/>
      </c>
    </row>
    <row r="155" spans="2:11" x14ac:dyDescent="0.25">
      <c r="B155" t="str">
        <f>IF(A155="","",COUNTIFS(Data!$I:$I,"Kirk",Data!$J:$J,"Onboarded",Data!$C:$C,A155))</f>
        <v/>
      </c>
      <c r="C155" t="str">
        <f>IF(A155="","",COUNTIFS(Data!$I:$I,"Kirk",Data!$J:$J,"Referral",Data!$C:$C,A155))</f>
        <v/>
      </c>
      <c r="D155" t="str">
        <f>IF(A155="","",COUNTIFS(Data!$I:$I,"Kirk",Data!$J:$J,"Transfer",Data!$C:$C,A155))</f>
        <v/>
      </c>
      <c r="E155" t="str">
        <f>IF(A155="","",COUNTIFS(Data!$I:$I,"Justin",Data!$J:$J,"Onboarded",Data!$C:$C,A155))</f>
        <v/>
      </c>
      <c r="F155" t="str">
        <f>IF(A155="","",COUNTIFS(Data!$I:$I,"Justin",Data!$J:$J,"Referral",Data!$C:$C,A155))</f>
        <v/>
      </c>
      <c r="G155" t="str">
        <f>IF(A155="","",COUNTIFS(Data!$I:$I,"Justin",Data!$J:$J,"Transfer",Data!$C:$C,A155))</f>
        <v/>
      </c>
      <c r="H155" t="str">
        <f>IF(A155="","",COUNTIFS(Data!$I:$I,"Reyna",Data!$J:$J,"Onboarded",Data!$C:$C,A155))</f>
        <v/>
      </c>
      <c r="I155" t="str">
        <f>IF(A155="","",COUNTIFS(Data!$I:$I,"Reyna",Data!$J:$J,"Referral",Data!$C:$C,A155))</f>
        <v/>
      </c>
      <c r="J155" t="str">
        <f>IF(A155="","",COUNTIFS(Data!$I:$I,"Reyna",Data!$J:$J,"Transfer",Data!$C:$C,A155))</f>
        <v/>
      </c>
      <c r="K155" t="str">
        <f t="shared" si="4"/>
        <v/>
      </c>
    </row>
    <row r="156" spans="2:11" x14ac:dyDescent="0.25">
      <c r="B156" t="str">
        <f>IF(A156="","",COUNTIFS(Data!$I:$I,"Kirk",Data!$J:$J,"Onboarded",Data!$C:$C,A156))</f>
        <v/>
      </c>
      <c r="C156" t="str">
        <f>IF(A156="","",COUNTIFS(Data!$I:$I,"Kirk",Data!$J:$J,"Referral",Data!$C:$C,A156))</f>
        <v/>
      </c>
      <c r="D156" t="str">
        <f>IF(A156="","",COUNTIFS(Data!$I:$I,"Kirk",Data!$J:$J,"Transfer",Data!$C:$C,A156))</f>
        <v/>
      </c>
      <c r="E156" t="str">
        <f>IF(A156="","",COUNTIFS(Data!$I:$I,"Justin",Data!$J:$J,"Onboarded",Data!$C:$C,A156))</f>
        <v/>
      </c>
      <c r="F156" t="str">
        <f>IF(A156="","",COUNTIFS(Data!$I:$I,"Justin",Data!$J:$J,"Referral",Data!$C:$C,A156))</f>
        <v/>
      </c>
      <c r="G156" t="str">
        <f>IF(A156="","",COUNTIFS(Data!$I:$I,"Justin",Data!$J:$J,"Transfer",Data!$C:$C,A156))</f>
        <v/>
      </c>
      <c r="H156" t="str">
        <f>IF(A156="","",COUNTIFS(Data!$I:$I,"Reyna",Data!$J:$J,"Onboarded",Data!$C:$C,A156))</f>
        <v/>
      </c>
      <c r="I156" t="str">
        <f>IF(A156="","",COUNTIFS(Data!$I:$I,"Reyna",Data!$J:$J,"Referral",Data!$C:$C,A156))</f>
        <v/>
      </c>
      <c r="J156" t="str">
        <f>IF(A156="","",COUNTIFS(Data!$I:$I,"Reyna",Data!$J:$J,"Transfer",Data!$C:$C,A156))</f>
        <v/>
      </c>
      <c r="K156" t="str">
        <f t="shared" si="4"/>
        <v/>
      </c>
    </row>
    <row r="157" spans="2:11" x14ac:dyDescent="0.25">
      <c r="B157" t="str">
        <f>IF(A157="","",COUNTIFS(Data!$I:$I,"Kirk",Data!$J:$J,"Onboarded",Data!$C:$C,A157))</f>
        <v/>
      </c>
      <c r="C157" t="str">
        <f>IF(A157="","",COUNTIFS(Data!$I:$I,"Kirk",Data!$J:$J,"Referral",Data!$C:$C,A157))</f>
        <v/>
      </c>
      <c r="D157" t="str">
        <f>IF(A157="","",COUNTIFS(Data!$I:$I,"Kirk",Data!$J:$J,"Transfer",Data!$C:$C,A157))</f>
        <v/>
      </c>
      <c r="E157" t="str">
        <f>IF(A157="","",COUNTIFS(Data!$I:$I,"Justin",Data!$J:$J,"Onboarded",Data!$C:$C,A157))</f>
        <v/>
      </c>
      <c r="F157" t="str">
        <f>IF(A157="","",COUNTIFS(Data!$I:$I,"Justin",Data!$J:$J,"Referral",Data!$C:$C,A157))</f>
        <v/>
      </c>
      <c r="G157" t="str">
        <f>IF(A157="","",COUNTIFS(Data!$I:$I,"Justin",Data!$J:$J,"Transfer",Data!$C:$C,A157))</f>
        <v/>
      </c>
      <c r="H157" t="str">
        <f>IF(A157="","",COUNTIFS(Data!$I:$I,"Reyna",Data!$J:$J,"Onboarded",Data!$C:$C,A157))</f>
        <v/>
      </c>
      <c r="I157" t="str">
        <f>IF(A157="","",COUNTIFS(Data!$I:$I,"Reyna",Data!$J:$J,"Referral",Data!$C:$C,A157))</f>
        <v/>
      </c>
      <c r="J157" t="str">
        <f>IF(A157="","",COUNTIFS(Data!$I:$I,"Reyna",Data!$J:$J,"Transfer",Data!$C:$C,A157))</f>
        <v/>
      </c>
      <c r="K157" t="str">
        <f t="shared" si="4"/>
        <v/>
      </c>
    </row>
    <row r="158" spans="2:11" x14ac:dyDescent="0.25">
      <c r="B158" t="str">
        <f>IF(A158="","",COUNTIFS(Data!$I:$I,"Kirk",Data!$J:$J,"Onboarded",Data!$C:$C,A158))</f>
        <v/>
      </c>
      <c r="C158" t="str">
        <f>IF(A158="","",COUNTIFS(Data!$I:$I,"Kirk",Data!$J:$J,"Referral",Data!$C:$C,A158))</f>
        <v/>
      </c>
      <c r="D158" t="str">
        <f>IF(A158="","",COUNTIFS(Data!$I:$I,"Kirk",Data!$J:$J,"Transfer",Data!$C:$C,A158))</f>
        <v/>
      </c>
      <c r="E158" t="str">
        <f>IF(A158="","",COUNTIFS(Data!$I:$I,"Justin",Data!$J:$J,"Onboarded",Data!$C:$C,A158))</f>
        <v/>
      </c>
      <c r="F158" t="str">
        <f>IF(A158="","",COUNTIFS(Data!$I:$I,"Justin",Data!$J:$J,"Referral",Data!$C:$C,A158))</f>
        <v/>
      </c>
      <c r="G158" t="str">
        <f>IF(A158="","",COUNTIFS(Data!$I:$I,"Justin",Data!$J:$J,"Transfer",Data!$C:$C,A158))</f>
        <v/>
      </c>
      <c r="H158" t="str">
        <f>IF(A158="","",COUNTIFS(Data!$I:$I,"Reyna",Data!$J:$J,"Onboarded",Data!$C:$C,A158))</f>
        <v/>
      </c>
      <c r="I158" t="str">
        <f>IF(A158="","",COUNTIFS(Data!$I:$I,"Reyna",Data!$J:$J,"Referral",Data!$C:$C,A158))</f>
        <v/>
      </c>
      <c r="J158" t="str">
        <f>IF(A158="","",COUNTIFS(Data!$I:$I,"Reyna",Data!$J:$J,"Transfer",Data!$C:$C,A158))</f>
        <v/>
      </c>
      <c r="K158" t="str">
        <f t="shared" si="4"/>
        <v/>
      </c>
    </row>
    <row r="159" spans="2:11" x14ac:dyDescent="0.25">
      <c r="B159" t="str">
        <f>IF(A159="","",COUNTIFS(Data!$I:$I,"Kirk",Data!$J:$J,"Onboarded",Data!$C:$C,A159))</f>
        <v/>
      </c>
      <c r="C159" t="str">
        <f>IF(A159="","",COUNTIFS(Data!$I:$I,"Kirk",Data!$J:$J,"Referral",Data!$C:$C,A159))</f>
        <v/>
      </c>
      <c r="D159" t="str">
        <f>IF(A159="","",COUNTIFS(Data!$I:$I,"Kirk",Data!$J:$J,"Transfer",Data!$C:$C,A159))</f>
        <v/>
      </c>
      <c r="E159" t="str">
        <f>IF(A159="","",COUNTIFS(Data!$I:$I,"Justin",Data!$J:$J,"Onboarded",Data!$C:$C,A159))</f>
        <v/>
      </c>
      <c r="F159" t="str">
        <f>IF(A159="","",COUNTIFS(Data!$I:$I,"Justin",Data!$J:$J,"Referral",Data!$C:$C,A159))</f>
        <v/>
      </c>
      <c r="G159" t="str">
        <f>IF(A159="","",COUNTIFS(Data!$I:$I,"Justin",Data!$J:$J,"Transfer",Data!$C:$C,A159))</f>
        <v/>
      </c>
      <c r="H159" t="str">
        <f>IF(A159="","",COUNTIFS(Data!$I:$I,"Reyna",Data!$J:$J,"Onboarded",Data!$C:$C,A159))</f>
        <v/>
      </c>
      <c r="I159" t="str">
        <f>IF(A159="","",COUNTIFS(Data!$I:$I,"Reyna",Data!$J:$J,"Referral",Data!$C:$C,A159))</f>
        <v/>
      </c>
      <c r="J159" t="str">
        <f>IF(A159="","",COUNTIFS(Data!$I:$I,"Reyna",Data!$J:$J,"Transfer",Data!$C:$C,A159))</f>
        <v/>
      </c>
      <c r="K159" t="str">
        <f t="shared" si="4"/>
        <v/>
      </c>
    </row>
    <row r="160" spans="2:11" x14ac:dyDescent="0.25">
      <c r="B160" t="str">
        <f>IF(A160="","",COUNTIFS(Data!$I:$I,"Kirk",Data!$J:$J,"Onboarded",Data!$C:$C,A160))</f>
        <v/>
      </c>
      <c r="C160" t="str">
        <f>IF(A160="","",COUNTIFS(Data!$I:$I,"Kirk",Data!$J:$J,"Referral",Data!$C:$C,A160))</f>
        <v/>
      </c>
      <c r="D160" t="str">
        <f>IF(A160="","",COUNTIFS(Data!$I:$I,"Kirk",Data!$J:$J,"Transfer",Data!$C:$C,A160))</f>
        <v/>
      </c>
      <c r="E160" t="str">
        <f>IF(A160="","",COUNTIFS(Data!$I:$I,"Justin",Data!$J:$J,"Onboarded",Data!$C:$C,A160))</f>
        <v/>
      </c>
      <c r="F160" t="str">
        <f>IF(A160="","",COUNTIFS(Data!$I:$I,"Justin",Data!$J:$J,"Referral",Data!$C:$C,A160))</f>
        <v/>
      </c>
      <c r="G160" t="str">
        <f>IF(A160="","",COUNTIFS(Data!$I:$I,"Justin",Data!$J:$J,"Transfer",Data!$C:$C,A160))</f>
        <v/>
      </c>
      <c r="H160" t="str">
        <f>IF(A160="","",COUNTIFS(Data!$I:$I,"Reyna",Data!$J:$J,"Onboarded",Data!$C:$C,A160))</f>
        <v/>
      </c>
      <c r="I160" t="str">
        <f>IF(A160="","",COUNTIFS(Data!$I:$I,"Reyna",Data!$J:$J,"Referral",Data!$C:$C,A160))</f>
        <v/>
      </c>
      <c r="J160" t="str">
        <f>IF(A160="","",COUNTIFS(Data!$I:$I,"Reyna",Data!$J:$J,"Transfer",Data!$C:$C,A160))</f>
        <v/>
      </c>
      <c r="K160" t="str">
        <f t="shared" si="4"/>
        <v/>
      </c>
    </row>
    <row r="161" spans="2:11" x14ac:dyDescent="0.25">
      <c r="B161" t="str">
        <f>IF(A161="","",COUNTIFS(Data!$I:$I,"Kirk",Data!$J:$J,"Onboarded",Data!$C:$C,A161))</f>
        <v/>
      </c>
      <c r="C161" t="str">
        <f>IF(A161="","",COUNTIFS(Data!$I:$I,"Kirk",Data!$J:$J,"Referral",Data!$C:$C,A161))</f>
        <v/>
      </c>
      <c r="D161" t="str">
        <f>IF(A161="","",COUNTIFS(Data!$I:$I,"Kirk",Data!$J:$J,"Transfer",Data!$C:$C,A161))</f>
        <v/>
      </c>
      <c r="E161" t="str">
        <f>IF(A161="","",COUNTIFS(Data!$I:$I,"Justin",Data!$J:$J,"Onboarded",Data!$C:$C,A161))</f>
        <v/>
      </c>
      <c r="F161" t="str">
        <f>IF(A161="","",COUNTIFS(Data!$I:$I,"Justin",Data!$J:$J,"Referral",Data!$C:$C,A161))</f>
        <v/>
      </c>
      <c r="G161" t="str">
        <f>IF(A161="","",COUNTIFS(Data!$I:$I,"Justin",Data!$J:$J,"Transfer",Data!$C:$C,A161))</f>
        <v/>
      </c>
      <c r="H161" t="str">
        <f>IF(A161="","",COUNTIFS(Data!$I:$I,"Reyna",Data!$J:$J,"Onboarded",Data!$C:$C,A161))</f>
        <v/>
      </c>
      <c r="I161" t="str">
        <f>IF(A161="","",COUNTIFS(Data!$I:$I,"Reyna",Data!$J:$J,"Referral",Data!$C:$C,A161))</f>
        <v/>
      </c>
      <c r="J161" t="str">
        <f>IF(A161="","",COUNTIFS(Data!$I:$I,"Reyna",Data!$J:$J,"Transfer",Data!$C:$C,A161))</f>
        <v/>
      </c>
      <c r="K161" t="str">
        <f t="shared" si="4"/>
        <v/>
      </c>
    </row>
    <row r="162" spans="2:11" x14ac:dyDescent="0.25">
      <c r="B162" t="str">
        <f>IF(A162="","",COUNTIFS(Data!$I:$I,"Kirk",Data!$J:$J,"Onboarded",Data!$C:$C,A162))</f>
        <v/>
      </c>
      <c r="C162" t="str">
        <f>IF(A162="","",COUNTIFS(Data!$I:$I,"Kirk",Data!$J:$J,"Referral",Data!$C:$C,A162))</f>
        <v/>
      </c>
      <c r="D162" t="str">
        <f>IF(A162="","",COUNTIFS(Data!$I:$I,"Kirk",Data!$J:$J,"Transfer",Data!$C:$C,A162))</f>
        <v/>
      </c>
      <c r="E162" t="str">
        <f>IF(A162="","",COUNTIFS(Data!$I:$I,"Justin",Data!$J:$J,"Onboarded",Data!$C:$C,A162))</f>
        <v/>
      </c>
      <c r="F162" t="str">
        <f>IF(A162="","",COUNTIFS(Data!$I:$I,"Justin",Data!$J:$J,"Referral",Data!$C:$C,A162))</f>
        <v/>
      </c>
      <c r="G162" t="str">
        <f>IF(A162="","",COUNTIFS(Data!$I:$I,"Justin",Data!$J:$J,"Transfer",Data!$C:$C,A162))</f>
        <v/>
      </c>
      <c r="H162" t="str">
        <f>IF(A162="","",COUNTIFS(Data!$I:$I,"Reyna",Data!$J:$J,"Onboarded",Data!$C:$C,A162))</f>
        <v/>
      </c>
      <c r="I162" t="str">
        <f>IF(A162="","",COUNTIFS(Data!$I:$I,"Reyna",Data!$J:$J,"Referral",Data!$C:$C,A162))</f>
        <v/>
      </c>
      <c r="J162" t="str">
        <f>IF(A162="","",COUNTIFS(Data!$I:$I,"Reyna",Data!$J:$J,"Transfer",Data!$C:$C,A162))</f>
        <v/>
      </c>
      <c r="K162" t="str">
        <f t="shared" si="4"/>
        <v/>
      </c>
    </row>
    <row r="163" spans="2:11" x14ac:dyDescent="0.25">
      <c r="B163" t="str">
        <f>IF(A163="","",COUNTIFS(Data!$I:$I,"Kirk",Data!$J:$J,"Onboarded",Data!$C:$C,A163))</f>
        <v/>
      </c>
      <c r="C163" t="str">
        <f>IF(A163="","",COUNTIFS(Data!$I:$I,"Kirk",Data!$J:$J,"Referral",Data!$C:$C,A163))</f>
        <v/>
      </c>
      <c r="D163" t="str">
        <f>IF(A163="","",COUNTIFS(Data!$I:$I,"Kirk",Data!$J:$J,"Transfer",Data!$C:$C,A163))</f>
        <v/>
      </c>
      <c r="E163" t="str">
        <f>IF(A163="","",COUNTIFS(Data!$I:$I,"Justin",Data!$J:$J,"Onboarded",Data!$C:$C,A163))</f>
        <v/>
      </c>
      <c r="F163" t="str">
        <f>IF(A163="","",COUNTIFS(Data!$I:$I,"Justin",Data!$J:$J,"Referral",Data!$C:$C,A163))</f>
        <v/>
      </c>
      <c r="G163" t="str">
        <f>IF(A163="","",COUNTIFS(Data!$I:$I,"Justin",Data!$J:$J,"Transfer",Data!$C:$C,A163))</f>
        <v/>
      </c>
      <c r="H163" t="str">
        <f>IF(A163="","",COUNTIFS(Data!$I:$I,"Reyna",Data!$J:$J,"Onboarded",Data!$C:$C,A163))</f>
        <v/>
      </c>
      <c r="I163" t="str">
        <f>IF(A163="","",COUNTIFS(Data!$I:$I,"Reyna",Data!$J:$J,"Referral",Data!$C:$C,A163))</f>
        <v/>
      </c>
      <c r="J163" t="str">
        <f>IF(A163="","",COUNTIFS(Data!$I:$I,"Reyna",Data!$J:$J,"Transfer",Data!$C:$C,A163))</f>
        <v/>
      </c>
      <c r="K163" t="str">
        <f t="shared" si="4"/>
        <v/>
      </c>
    </row>
    <row r="164" spans="2:11" x14ac:dyDescent="0.25">
      <c r="B164" t="str">
        <f>IF(A164="","",COUNTIFS(Data!$I:$I,"Kirk",Data!$J:$J,"Onboarded",Data!$C:$C,A164))</f>
        <v/>
      </c>
      <c r="C164" t="str">
        <f>IF(A164="","",COUNTIFS(Data!$I:$I,"Kirk",Data!$J:$J,"Referral",Data!$C:$C,A164))</f>
        <v/>
      </c>
      <c r="D164" t="str">
        <f>IF(A164="","",COUNTIFS(Data!$I:$I,"Kirk",Data!$J:$J,"Transfer",Data!$C:$C,A164))</f>
        <v/>
      </c>
      <c r="E164" t="str">
        <f>IF(A164="","",COUNTIFS(Data!$I:$I,"Justin",Data!$J:$J,"Onboarded",Data!$C:$C,A164))</f>
        <v/>
      </c>
      <c r="F164" t="str">
        <f>IF(A164="","",COUNTIFS(Data!$I:$I,"Justin",Data!$J:$J,"Referral",Data!$C:$C,A164))</f>
        <v/>
      </c>
      <c r="G164" t="str">
        <f>IF(A164="","",COUNTIFS(Data!$I:$I,"Justin",Data!$J:$J,"Transfer",Data!$C:$C,A164))</f>
        <v/>
      </c>
      <c r="H164" t="str">
        <f>IF(A164="","",COUNTIFS(Data!$I:$I,"Reyna",Data!$J:$J,"Onboarded",Data!$C:$C,A164))</f>
        <v/>
      </c>
      <c r="I164" t="str">
        <f>IF(A164="","",COUNTIFS(Data!$I:$I,"Reyna",Data!$J:$J,"Referral",Data!$C:$C,A164))</f>
        <v/>
      </c>
      <c r="J164" t="str">
        <f>IF(A164="","",COUNTIFS(Data!$I:$I,"Reyna",Data!$J:$J,"Transfer",Data!$C:$C,A164))</f>
        <v/>
      </c>
      <c r="K164" t="str">
        <f t="shared" si="4"/>
        <v/>
      </c>
    </row>
    <row r="165" spans="2:11" x14ac:dyDescent="0.25">
      <c r="B165" t="str">
        <f>IF(A165="","",COUNTIFS(Data!$I:$I,"Kirk",Data!$J:$J,"Onboarded",Data!$C:$C,A165))</f>
        <v/>
      </c>
      <c r="C165" t="str">
        <f>IF(A165="","",COUNTIFS(Data!$I:$I,"Kirk",Data!$J:$J,"Referral",Data!$C:$C,A165))</f>
        <v/>
      </c>
      <c r="D165" t="str">
        <f>IF(A165="","",COUNTIFS(Data!$I:$I,"Kirk",Data!$J:$J,"Transfer",Data!$C:$C,A165))</f>
        <v/>
      </c>
      <c r="E165" t="str">
        <f>IF(A165="","",COUNTIFS(Data!$I:$I,"Justin",Data!$J:$J,"Onboarded",Data!$C:$C,A165))</f>
        <v/>
      </c>
      <c r="F165" t="str">
        <f>IF(A165="","",COUNTIFS(Data!$I:$I,"Justin",Data!$J:$J,"Referral",Data!$C:$C,A165))</f>
        <v/>
      </c>
      <c r="G165" t="str">
        <f>IF(A165="","",COUNTIFS(Data!$I:$I,"Justin",Data!$J:$J,"Transfer",Data!$C:$C,A165))</f>
        <v/>
      </c>
      <c r="H165" t="str">
        <f>IF(A165="","",COUNTIFS(Data!$I:$I,"Reyna",Data!$J:$J,"Onboarded",Data!$C:$C,A165))</f>
        <v/>
      </c>
      <c r="I165" t="str">
        <f>IF(A165="","",COUNTIFS(Data!$I:$I,"Reyna",Data!$J:$J,"Referral",Data!$C:$C,A165))</f>
        <v/>
      </c>
      <c r="J165" t="str">
        <f>IF(A165="","",COUNTIFS(Data!$I:$I,"Reyna",Data!$J:$J,"Transfer",Data!$C:$C,A165))</f>
        <v/>
      </c>
      <c r="K165" t="str">
        <f t="shared" si="4"/>
        <v/>
      </c>
    </row>
    <row r="166" spans="2:11" x14ac:dyDescent="0.25">
      <c r="B166" t="str">
        <f>IF(A166="","",COUNTIFS(Data!$I:$I,"Kirk",Data!$J:$J,"Onboarded",Data!$C:$C,A166))</f>
        <v/>
      </c>
      <c r="C166" t="str">
        <f>IF(A166="","",COUNTIFS(Data!$I:$I,"Kirk",Data!$J:$J,"Referral",Data!$C:$C,A166))</f>
        <v/>
      </c>
      <c r="D166" t="str">
        <f>IF(A166="","",COUNTIFS(Data!$I:$I,"Kirk",Data!$J:$J,"Transfer",Data!$C:$C,A166))</f>
        <v/>
      </c>
      <c r="E166" t="str">
        <f>IF(A166="","",COUNTIFS(Data!$I:$I,"Justin",Data!$J:$J,"Onboarded",Data!$C:$C,A166))</f>
        <v/>
      </c>
      <c r="F166" t="str">
        <f>IF(A166="","",COUNTIFS(Data!$I:$I,"Justin",Data!$J:$J,"Referral",Data!$C:$C,A166))</f>
        <v/>
      </c>
      <c r="G166" t="str">
        <f>IF(A166="","",COUNTIFS(Data!$I:$I,"Justin",Data!$J:$J,"Transfer",Data!$C:$C,A166))</f>
        <v/>
      </c>
      <c r="H166" t="str">
        <f>IF(A166="","",COUNTIFS(Data!$I:$I,"Reyna",Data!$J:$J,"Onboarded",Data!$C:$C,A166))</f>
        <v/>
      </c>
      <c r="I166" t="str">
        <f>IF(A166="","",COUNTIFS(Data!$I:$I,"Reyna",Data!$J:$J,"Referral",Data!$C:$C,A166))</f>
        <v/>
      </c>
      <c r="J166" t="str">
        <f>IF(A166="","",COUNTIFS(Data!$I:$I,"Reyna",Data!$J:$J,"Transfer",Data!$C:$C,A166))</f>
        <v/>
      </c>
      <c r="K166" t="str">
        <f t="shared" si="4"/>
        <v/>
      </c>
    </row>
    <row r="167" spans="2:11" x14ac:dyDescent="0.25">
      <c r="B167" t="str">
        <f>IF(A167="","",COUNTIFS(Data!$I:$I,"Kirk",Data!$J:$J,"Onboarded",Data!$C:$C,A167))</f>
        <v/>
      </c>
      <c r="C167" t="str">
        <f>IF(A167="","",COUNTIFS(Data!$I:$I,"Kirk",Data!$J:$J,"Referral",Data!$C:$C,A167))</f>
        <v/>
      </c>
      <c r="D167" t="str">
        <f>IF(A167="","",COUNTIFS(Data!$I:$I,"Kirk",Data!$J:$J,"Transfer",Data!$C:$C,A167))</f>
        <v/>
      </c>
      <c r="E167" t="str">
        <f>IF(A167="","",COUNTIFS(Data!$I:$I,"Justin",Data!$J:$J,"Onboarded",Data!$C:$C,A167))</f>
        <v/>
      </c>
      <c r="F167" t="str">
        <f>IF(A167="","",COUNTIFS(Data!$I:$I,"Justin",Data!$J:$J,"Referral",Data!$C:$C,A167))</f>
        <v/>
      </c>
      <c r="G167" t="str">
        <f>IF(A167="","",COUNTIFS(Data!$I:$I,"Justin",Data!$J:$J,"Transfer",Data!$C:$C,A167))</f>
        <v/>
      </c>
      <c r="H167" t="str">
        <f>IF(A167="","",COUNTIFS(Data!$I:$I,"Reyna",Data!$J:$J,"Onboarded",Data!$C:$C,A167))</f>
        <v/>
      </c>
      <c r="I167" t="str">
        <f>IF(A167="","",COUNTIFS(Data!$I:$I,"Reyna",Data!$J:$J,"Referral",Data!$C:$C,A167))</f>
        <v/>
      </c>
      <c r="J167" t="str">
        <f>IF(A167="","",COUNTIFS(Data!$I:$I,"Reyna",Data!$J:$J,"Transfer",Data!$C:$C,A167))</f>
        <v/>
      </c>
      <c r="K167" t="str">
        <f t="shared" si="4"/>
        <v/>
      </c>
    </row>
    <row r="168" spans="2:11" x14ac:dyDescent="0.25">
      <c r="B168" t="str">
        <f>IF(A168="","",COUNTIFS(Data!$I:$I,"Kirk",Data!$J:$J,"Onboarded",Data!$C:$C,A168))</f>
        <v/>
      </c>
      <c r="C168" t="str">
        <f>IF(A168="","",COUNTIFS(Data!$I:$I,"Kirk",Data!$J:$J,"Referral",Data!$C:$C,A168))</f>
        <v/>
      </c>
      <c r="D168" t="str">
        <f>IF(A168="","",COUNTIFS(Data!$I:$I,"Kirk",Data!$J:$J,"Transfer",Data!$C:$C,A168))</f>
        <v/>
      </c>
      <c r="E168" t="str">
        <f>IF(A168="","",COUNTIFS(Data!$I:$I,"Justin",Data!$J:$J,"Onboarded",Data!$C:$C,A168))</f>
        <v/>
      </c>
      <c r="F168" t="str">
        <f>IF(A168="","",COUNTIFS(Data!$I:$I,"Justin",Data!$J:$J,"Referral",Data!$C:$C,A168))</f>
        <v/>
      </c>
      <c r="G168" t="str">
        <f>IF(A168="","",COUNTIFS(Data!$I:$I,"Justin",Data!$J:$J,"Transfer",Data!$C:$C,A168))</f>
        <v/>
      </c>
      <c r="H168" t="str">
        <f>IF(A168="","",COUNTIFS(Data!$I:$I,"Reyna",Data!$J:$J,"Onboarded",Data!$C:$C,A168))</f>
        <v/>
      </c>
      <c r="I168" t="str">
        <f>IF(A168="","",COUNTIFS(Data!$I:$I,"Reyna",Data!$J:$J,"Referral",Data!$C:$C,A168))</f>
        <v/>
      </c>
      <c r="J168" t="str">
        <f>IF(A168="","",COUNTIFS(Data!$I:$I,"Reyna",Data!$J:$J,"Transfer",Data!$C:$C,A168))</f>
        <v/>
      </c>
      <c r="K168" t="str">
        <f t="shared" si="4"/>
        <v/>
      </c>
    </row>
    <row r="169" spans="2:11" x14ac:dyDescent="0.25">
      <c r="B169" t="str">
        <f>IF(A169="","",COUNTIFS(Data!$I:$I,"Kirk",Data!$J:$J,"Onboarded",Data!$C:$C,A169))</f>
        <v/>
      </c>
      <c r="C169" t="str">
        <f>IF(A169="","",COUNTIFS(Data!$I:$I,"Kirk",Data!$J:$J,"Referral",Data!$C:$C,A169))</f>
        <v/>
      </c>
      <c r="D169" t="str">
        <f>IF(A169="","",COUNTIFS(Data!$I:$I,"Kirk",Data!$J:$J,"Transfer",Data!$C:$C,A169))</f>
        <v/>
      </c>
      <c r="E169" t="str">
        <f>IF(A169="","",COUNTIFS(Data!$I:$I,"Justin",Data!$J:$J,"Onboarded",Data!$C:$C,A169))</f>
        <v/>
      </c>
      <c r="F169" t="str">
        <f>IF(A169="","",COUNTIFS(Data!$I:$I,"Justin",Data!$J:$J,"Referral",Data!$C:$C,A169))</f>
        <v/>
      </c>
      <c r="G169" t="str">
        <f>IF(A169="","",COUNTIFS(Data!$I:$I,"Justin",Data!$J:$J,"Transfer",Data!$C:$C,A169))</f>
        <v/>
      </c>
      <c r="H169" t="str">
        <f>IF(A169="","",COUNTIFS(Data!$I:$I,"Reyna",Data!$J:$J,"Onboarded",Data!$C:$C,A169))</f>
        <v/>
      </c>
      <c r="I169" t="str">
        <f>IF(A169="","",COUNTIFS(Data!$I:$I,"Reyna",Data!$J:$J,"Referral",Data!$C:$C,A169))</f>
        <v/>
      </c>
      <c r="J169" t="str">
        <f>IF(A169="","",COUNTIFS(Data!$I:$I,"Reyna",Data!$J:$J,"Transfer",Data!$C:$C,A169))</f>
        <v/>
      </c>
      <c r="K169" t="str">
        <f t="shared" si="4"/>
        <v/>
      </c>
    </row>
    <row r="170" spans="2:11" x14ac:dyDescent="0.25">
      <c r="B170" t="str">
        <f>IF(A170="","",COUNTIFS(Data!$I:$I,"Kirk",Data!$J:$J,"Onboarded",Data!$C:$C,A170))</f>
        <v/>
      </c>
      <c r="C170" t="str">
        <f>IF(A170="","",COUNTIFS(Data!$I:$I,"Kirk",Data!$J:$J,"Referral",Data!$C:$C,A170))</f>
        <v/>
      </c>
      <c r="D170" t="str">
        <f>IF(A170="","",COUNTIFS(Data!$I:$I,"Kirk",Data!$J:$J,"Transfer",Data!$C:$C,A170))</f>
        <v/>
      </c>
      <c r="E170" t="str">
        <f>IF(A170="","",COUNTIFS(Data!$I:$I,"Justin",Data!$J:$J,"Onboarded",Data!$C:$C,A170))</f>
        <v/>
      </c>
      <c r="F170" t="str">
        <f>IF(A170="","",COUNTIFS(Data!$I:$I,"Justin",Data!$J:$J,"Referral",Data!$C:$C,A170))</f>
        <v/>
      </c>
      <c r="G170" t="str">
        <f>IF(A170="","",COUNTIFS(Data!$I:$I,"Justin",Data!$J:$J,"Transfer",Data!$C:$C,A170))</f>
        <v/>
      </c>
      <c r="H170" t="str">
        <f>IF(A170="","",COUNTIFS(Data!$I:$I,"Reyna",Data!$J:$J,"Onboarded",Data!$C:$C,A170))</f>
        <v/>
      </c>
      <c r="I170" t="str">
        <f>IF(A170="","",COUNTIFS(Data!$I:$I,"Reyna",Data!$J:$J,"Referral",Data!$C:$C,A170))</f>
        <v/>
      </c>
      <c r="J170" t="str">
        <f>IF(A170="","",COUNTIFS(Data!$I:$I,"Reyna",Data!$J:$J,"Transfer",Data!$C:$C,A170))</f>
        <v/>
      </c>
      <c r="K170" t="str">
        <f t="shared" ref="K170:K201" si="5">IF(A170="","",SUM(B170:J170))</f>
        <v/>
      </c>
    </row>
    <row r="171" spans="2:11" x14ac:dyDescent="0.25">
      <c r="B171" t="str">
        <f>IF(A171="","",COUNTIFS(Data!$I:$I,"Kirk",Data!$J:$J,"Onboarded",Data!$C:$C,A171))</f>
        <v/>
      </c>
      <c r="C171" t="str">
        <f>IF(A171="","",COUNTIFS(Data!$I:$I,"Kirk",Data!$J:$J,"Referral",Data!$C:$C,A171))</f>
        <v/>
      </c>
      <c r="D171" t="str">
        <f>IF(A171="","",COUNTIFS(Data!$I:$I,"Kirk",Data!$J:$J,"Transfer",Data!$C:$C,A171))</f>
        <v/>
      </c>
      <c r="E171" t="str">
        <f>IF(A171="","",COUNTIFS(Data!$I:$I,"Justin",Data!$J:$J,"Onboarded",Data!$C:$C,A171))</f>
        <v/>
      </c>
      <c r="F171" t="str">
        <f>IF(A171="","",COUNTIFS(Data!$I:$I,"Justin",Data!$J:$J,"Referral",Data!$C:$C,A171))</f>
        <v/>
      </c>
      <c r="G171" t="str">
        <f>IF(A171="","",COUNTIFS(Data!$I:$I,"Justin",Data!$J:$J,"Transfer",Data!$C:$C,A171))</f>
        <v/>
      </c>
      <c r="H171" t="str">
        <f>IF(A171="","",COUNTIFS(Data!$I:$I,"Reyna",Data!$J:$J,"Onboarded",Data!$C:$C,A171))</f>
        <v/>
      </c>
      <c r="I171" t="str">
        <f>IF(A171="","",COUNTIFS(Data!$I:$I,"Reyna",Data!$J:$J,"Referral",Data!$C:$C,A171))</f>
        <v/>
      </c>
      <c r="J171" t="str">
        <f>IF(A171="","",COUNTIFS(Data!$I:$I,"Reyna",Data!$J:$J,"Transfer",Data!$C:$C,A171))</f>
        <v/>
      </c>
      <c r="K171" t="str">
        <f t="shared" si="5"/>
        <v/>
      </c>
    </row>
    <row r="172" spans="2:11" x14ac:dyDescent="0.25">
      <c r="B172" t="str">
        <f>IF(A172="","",COUNTIFS(Data!$I:$I,"Kirk",Data!$J:$J,"Onboarded",Data!$C:$C,A172))</f>
        <v/>
      </c>
      <c r="C172" t="str">
        <f>IF(A172="","",COUNTIFS(Data!$I:$I,"Kirk",Data!$J:$J,"Referral",Data!$C:$C,A172))</f>
        <v/>
      </c>
      <c r="D172" t="str">
        <f>IF(A172="","",COUNTIFS(Data!$I:$I,"Kirk",Data!$J:$J,"Transfer",Data!$C:$C,A172))</f>
        <v/>
      </c>
      <c r="E172" t="str">
        <f>IF(A172="","",COUNTIFS(Data!$I:$I,"Justin",Data!$J:$J,"Onboarded",Data!$C:$C,A172))</f>
        <v/>
      </c>
      <c r="F172" t="str">
        <f>IF(A172="","",COUNTIFS(Data!$I:$I,"Justin",Data!$J:$J,"Referral",Data!$C:$C,A172))</f>
        <v/>
      </c>
      <c r="G172" t="str">
        <f>IF(A172="","",COUNTIFS(Data!$I:$I,"Justin",Data!$J:$J,"Transfer",Data!$C:$C,A172))</f>
        <v/>
      </c>
      <c r="H172" t="str">
        <f>IF(A172="","",COUNTIFS(Data!$I:$I,"Reyna",Data!$J:$J,"Onboarded",Data!$C:$C,A172))</f>
        <v/>
      </c>
      <c r="I172" t="str">
        <f>IF(A172="","",COUNTIFS(Data!$I:$I,"Reyna",Data!$J:$J,"Referral",Data!$C:$C,A172))</f>
        <v/>
      </c>
      <c r="J172" t="str">
        <f>IF(A172="","",COUNTIFS(Data!$I:$I,"Reyna",Data!$J:$J,"Transfer",Data!$C:$C,A172))</f>
        <v/>
      </c>
      <c r="K172" t="str">
        <f t="shared" si="5"/>
        <v/>
      </c>
    </row>
    <row r="173" spans="2:11" x14ac:dyDescent="0.25">
      <c r="B173" t="str">
        <f>IF(A173="","",COUNTIFS(Data!$I:$I,"Kirk",Data!$J:$J,"Onboarded",Data!$C:$C,A173))</f>
        <v/>
      </c>
      <c r="C173" t="str">
        <f>IF(A173="","",COUNTIFS(Data!$I:$I,"Kirk",Data!$J:$J,"Referral",Data!$C:$C,A173))</f>
        <v/>
      </c>
      <c r="D173" t="str">
        <f>IF(A173="","",COUNTIFS(Data!$I:$I,"Kirk",Data!$J:$J,"Transfer",Data!$C:$C,A173))</f>
        <v/>
      </c>
      <c r="E173" t="str">
        <f>IF(A173="","",COUNTIFS(Data!$I:$I,"Justin",Data!$J:$J,"Onboarded",Data!$C:$C,A173))</f>
        <v/>
      </c>
      <c r="F173" t="str">
        <f>IF(A173="","",COUNTIFS(Data!$I:$I,"Justin",Data!$J:$J,"Referral",Data!$C:$C,A173))</f>
        <v/>
      </c>
      <c r="G173" t="str">
        <f>IF(A173="","",COUNTIFS(Data!$I:$I,"Justin",Data!$J:$J,"Transfer",Data!$C:$C,A173))</f>
        <v/>
      </c>
      <c r="H173" t="str">
        <f>IF(A173="","",COUNTIFS(Data!$I:$I,"Reyna",Data!$J:$J,"Onboarded",Data!$C:$C,A173))</f>
        <v/>
      </c>
      <c r="I173" t="str">
        <f>IF(A173="","",COUNTIFS(Data!$I:$I,"Reyna",Data!$J:$J,"Referral",Data!$C:$C,A173))</f>
        <v/>
      </c>
      <c r="J173" t="str">
        <f>IF(A173="","",COUNTIFS(Data!$I:$I,"Reyna",Data!$J:$J,"Transfer",Data!$C:$C,A173))</f>
        <v/>
      </c>
      <c r="K173" t="str">
        <f t="shared" si="5"/>
        <v/>
      </c>
    </row>
    <row r="174" spans="2:11" x14ac:dyDescent="0.25">
      <c r="B174" t="str">
        <f>IF(A174="","",COUNTIFS(Data!$I:$I,"Kirk",Data!$J:$J,"Onboarded",Data!$C:$C,A174))</f>
        <v/>
      </c>
      <c r="C174" t="str">
        <f>IF(A174="","",COUNTIFS(Data!$I:$I,"Kirk",Data!$J:$J,"Referral",Data!$C:$C,A174))</f>
        <v/>
      </c>
      <c r="D174" t="str">
        <f>IF(A174="","",COUNTIFS(Data!$I:$I,"Kirk",Data!$J:$J,"Transfer",Data!$C:$C,A174))</f>
        <v/>
      </c>
      <c r="E174" t="str">
        <f>IF(A174="","",COUNTIFS(Data!$I:$I,"Justin",Data!$J:$J,"Onboarded",Data!$C:$C,A174))</f>
        <v/>
      </c>
      <c r="F174" t="str">
        <f>IF(A174="","",COUNTIFS(Data!$I:$I,"Justin",Data!$J:$J,"Referral",Data!$C:$C,A174))</f>
        <v/>
      </c>
      <c r="G174" t="str">
        <f>IF(A174="","",COUNTIFS(Data!$I:$I,"Justin",Data!$J:$J,"Transfer",Data!$C:$C,A174))</f>
        <v/>
      </c>
      <c r="H174" t="str">
        <f>IF(A174="","",COUNTIFS(Data!$I:$I,"Reyna",Data!$J:$J,"Onboarded",Data!$C:$C,A174))</f>
        <v/>
      </c>
      <c r="I174" t="str">
        <f>IF(A174="","",COUNTIFS(Data!$I:$I,"Reyna",Data!$J:$J,"Referral",Data!$C:$C,A174))</f>
        <v/>
      </c>
      <c r="J174" t="str">
        <f>IF(A174="","",COUNTIFS(Data!$I:$I,"Reyna",Data!$J:$J,"Transfer",Data!$C:$C,A174))</f>
        <v/>
      </c>
      <c r="K174" t="str">
        <f t="shared" si="5"/>
        <v/>
      </c>
    </row>
    <row r="175" spans="2:11" x14ac:dyDescent="0.25">
      <c r="B175" t="str">
        <f>IF(A175="","",COUNTIFS(Data!$I:$I,"Kirk",Data!$J:$J,"Onboarded",Data!$C:$C,A175))</f>
        <v/>
      </c>
      <c r="C175" t="str">
        <f>IF(A175="","",COUNTIFS(Data!$I:$I,"Kirk",Data!$J:$J,"Referral",Data!$C:$C,A175))</f>
        <v/>
      </c>
      <c r="D175" t="str">
        <f>IF(A175="","",COUNTIFS(Data!$I:$I,"Kirk",Data!$J:$J,"Transfer",Data!$C:$C,A175))</f>
        <v/>
      </c>
      <c r="E175" t="str">
        <f>IF(A175="","",COUNTIFS(Data!$I:$I,"Justin",Data!$J:$J,"Onboarded",Data!$C:$C,A175))</f>
        <v/>
      </c>
      <c r="F175" t="str">
        <f>IF(A175="","",COUNTIFS(Data!$I:$I,"Justin",Data!$J:$J,"Referral",Data!$C:$C,A175))</f>
        <v/>
      </c>
      <c r="G175" t="str">
        <f>IF(A175="","",COUNTIFS(Data!$I:$I,"Justin",Data!$J:$J,"Transfer",Data!$C:$C,A175))</f>
        <v/>
      </c>
      <c r="H175" t="str">
        <f>IF(A175="","",COUNTIFS(Data!$I:$I,"Reyna",Data!$J:$J,"Onboarded",Data!$C:$C,A175))</f>
        <v/>
      </c>
      <c r="I175" t="str">
        <f>IF(A175="","",COUNTIFS(Data!$I:$I,"Reyna",Data!$J:$J,"Referral",Data!$C:$C,A175))</f>
        <v/>
      </c>
      <c r="J175" t="str">
        <f>IF(A175="","",COUNTIFS(Data!$I:$I,"Reyna",Data!$J:$J,"Transfer",Data!$C:$C,A175))</f>
        <v/>
      </c>
      <c r="K175" t="str">
        <f t="shared" si="5"/>
        <v/>
      </c>
    </row>
    <row r="176" spans="2:11" x14ac:dyDescent="0.25">
      <c r="B176" t="str">
        <f>IF(A176="","",COUNTIFS(Data!$I:$I,"Kirk",Data!$J:$J,"Onboarded",Data!$C:$C,A176))</f>
        <v/>
      </c>
      <c r="C176" t="str">
        <f>IF(A176="","",COUNTIFS(Data!$I:$I,"Kirk",Data!$J:$J,"Referral",Data!$C:$C,A176))</f>
        <v/>
      </c>
      <c r="D176" t="str">
        <f>IF(A176="","",COUNTIFS(Data!$I:$I,"Kirk",Data!$J:$J,"Transfer",Data!$C:$C,A176))</f>
        <v/>
      </c>
      <c r="E176" t="str">
        <f>IF(A176="","",COUNTIFS(Data!$I:$I,"Justin",Data!$J:$J,"Onboarded",Data!$C:$C,A176))</f>
        <v/>
      </c>
      <c r="F176" t="str">
        <f>IF(A176="","",COUNTIFS(Data!$I:$I,"Justin",Data!$J:$J,"Referral",Data!$C:$C,A176))</f>
        <v/>
      </c>
      <c r="G176" t="str">
        <f>IF(A176="","",COUNTIFS(Data!$I:$I,"Justin",Data!$J:$J,"Transfer",Data!$C:$C,A176))</f>
        <v/>
      </c>
      <c r="H176" t="str">
        <f>IF(A176="","",COUNTIFS(Data!$I:$I,"Reyna",Data!$J:$J,"Onboarded",Data!$C:$C,A176))</f>
        <v/>
      </c>
      <c r="I176" t="str">
        <f>IF(A176="","",COUNTIFS(Data!$I:$I,"Reyna",Data!$J:$J,"Referral",Data!$C:$C,A176))</f>
        <v/>
      </c>
      <c r="J176" t="str">
        <f>IF(A176="","",COUNTIFS(Data!$I:$I,"Reyna",Data!$J:$J,"Transfer",Data!$C:$C,A176))</f>
        <v/>
      </c>
      <c r="K176" t="str">
        <f t="shared" si="5"/>
        <v/>
      </c>
    </row>
    <row r="177" spans="2:11" x14ac:dyDescent="0.25">
      <c r="B177" t="str">
        <f>IF(A177="","",COUNTIFS(Data!$I:$I,"Kirk",Data!$J:$J,"Onboarded",Data!$C:$C,A177))</f>
        <v/>
      </c>
      <c r="C177" t="str">
        <f>IF(A177="","",COUNTIFS(Data!$I:$I,"Kirk",Data!$J:$J,"Referral",Data!$C:$C,A177))</f>
        <v/>
      </c>
      <c r="D177" t="str">
        <f>IF(A177="","",COUNTIFS(Data!$I:$I,"Kirk",Data!$J:$J,"Transfer",Data!$C:$C,A177))</f>
        <v/>
      </c>
      <c r="E177" t="str">
        <f>IF(A177="","",COUNTIFS(Data!$I:$I,"Justin",Data!$J:$J,"Onboarded",Data!$C:$C,A177))</f>
        <v/>
      </c>
      <c r="F177" t="str">
        <f>IF(A177="","",COUNTIFS(Data!$I:$I,"Justin",Data!$J:$J,"Referral",Data!$C:$C,A177))</f>
        <v/>
      </c>
      <c r="G177" t="str">
        <f>IF(A177="","",COUNTIFS(Data!$I:$I,"Justin",Data!$J:$J,"Transfer",Data!$C:$C,A177))</f>
        <v/>
      </c>
      <c r="H177" t="str">
        <f>IF(A177="","",COUNTIFS(Data!$I:$I,"Reyna",Data!$J:$J,"Onboarded",Data!$C:$C,A177))</f>
        <v/>
      </c>
      <c r="I177" t="str">
        <f>IF(A177="","",COUNTIFS(Data!$I:$I,"Reyna",Data!$J:$J,"Referral",Data!$C:$C,A177))</f>
        <v/>
      </c>
      <c r="J177" t="str">
        <f>IF(A177="","",COUNTIFS(Data!$I:$I,"Reyna",Data!$J:$J,"Transfer",Data!$C:$C,A177))</f>
        <v/>
      </c>
      <c r="K177" t="str">
        <f t="shared" si="5"/>
        <v/>
      </c>
    </row>
    <row r="178" spans="2:11" x14ac:dyDescent="0.25">
      <c r="B178" t="str">
        <f>IF(A178="","",COUNTIFS(Data!$I:$I,"Kirk",Data!$J:$J,"Onboarded",Data!$C:$C,A178))</f>
        <v/>
      </c>
      <c r="C178" t="str">
        <f>IF(A178="","",COUNTIFS(Data!$I:$I,"Kirk",Data!$J:$J,"Referral",Data!$C:$C,A178))</f>
        <v/>
      </c>
      <c r="D178" t="str">
        <f>IF(A178="","",COUNTIFS(Data!$I:$I,"Kirk",Data!$J:$J,"Transfer",Data!$C:$C,A178))</f>
        <v/>
      </c>
      <c r="E178" t="str">
        <f>IF(A178="","",COUNTIFS(Data!$I:$I,"Justin",Data!$J:$J,"Onboarded",Data!$C:$C,A178))</f>
        <v/>
      </c>
      <c r="F178" t="str">
        <f>IF(A178="","",COUNTIFS(Data!$I:$I,"Justin",Data!$J:$J,"Referral",Data!$C:$C,A178))</f>
        <v/>
      </c>
      <c r="G178" t="str">
        <f>IF(A178="","",COUNTIFS(Data!$I:$I,"Justin",Data!$J:$J,"Transfer",Data!$C:$C,A178))</f>
        <v/>
      </c>
      <c r="H178" t="str">
        <f>IF(A178="","",COUNTIFS(Data!$I:$I,"Reyna",Data!$J:$J,"Onboarded",Data!$C:$C,A178))</f>
        <v/>
      </c>
      <c r="I178" t="str">
        <f>IF(A178="","",COUNTIFS(Data!$I:$I,"Reyna",Data!$J:$J,"Referral",Data!$C:$C,A178))</f>
        <v/>
      </c>
      <c r="J178" t="str">
        <f>IF(A178="","",COUNTIFS(Data!$I:$I,"Reyna",Data!$J:$J,"Transfer",Data!$C:$C,A178))</f>
        <v/>
      </c>
      <c r="K178" t="str">
        <f t="shared" si="5"/>
        <v/>
      </c>
    </row>
    <row r="179" spans="2:11" x14ac:dyDescent="0.25">
      <c r="B179" t="str">
        <f>IF(A179="","",COUNTIFS(Data!$I:$I,"Kirk",Data!$J:$J,"Onboarded",Data!$C:$C,A179))</f>
        <v/>
      </c>
      <c r="C179" t="str">
        <f>IF(A179="","",COUNTIFS(Data!$I:$I,"Kirk",Data!$J:$J,"Referral",Data!$C:$C,A179))</f>
        <v/>
      </c>
      <c r="D179" t="str">
        <f>IF(A179="","",COUNTIFS(Data!$I:$I,"Kirk",Data!$J:$J,"Transfer",Data!$C:$C,A179))</f>
        <v/>
      </c>
      <c r="E179" t="str">
        <f>IF(A179="","",COUNTIFS(Data!$I:$I,"Justin",Data!$J:$J,"Onboarded",Data!$C:$C,A179))</f>
        <v/>
      </c>
      <c r="F179" t="str">
        <f>IF(A179="","",COUNTIFS(Data!$I:$I,"Justin",Data!$J:$J,"Referral",Data!$C:$C,A179))</f>
        <v/>
      </c>
      <c r="G179" t="str">
        <f>IF(A179="","",COUNTIFS(Data!$I:$I,"Justin",Data!$J:$J,"Transfer",Data!$C:$C,A179))</f>
        <v/>
      </c>
      <c r="H179" t="str">
        <f>IF(A179="","",COUNTIFS(Data!$I:$I,"Reyna",Data!$J:$J,"Onboarded",Data!$C:$C,A179))</f>
        <v/>
      </c>
      <c r="I179" t="str">
        <f>IF(A179="","",COUNTIFS(Data!$I:$I,"Reyna",Data!$J:$J,"Referral",Data!$C:$C,A179))</f>
        <v/>
      </c>
      <c r="J179" t="str">
        <f>IF(A179="","",COUNTIFS(Data!$I:$I,"Reyna",Data!$J:$J,"Transfer",Data!$C:$C,A179))</f>
        <v/>
      </c>
      <c r="K179" t="str">
        <f t="shared" si="5"/>
        <v/>
      </c>
    </row>
    <row r="180" spans="2:11" x14ac:dyDescent="0.25">
      <c r="B180" t="str">
        <f>IF(A180="","",COUNTIFS(Data!$I:$I,"Kirk",Data!$J:$J,"Onboarded",Data!$C:$C,A180))</f>
        <v/>
      </c>
      <c r="C180" t="str">
        <f>IF(A180="","",COUNTIFS(Data!$I:$I,"Kirk",Data!$J:$J,"Referral",Data!$C:$C,A180))</f>
        <v/>
      </c>
      <c r="D180" t="str">
        <f>IF(A180="","",COUNTIFS(Data!$I:$I,"Kirk",Data!$J:$J,"Transfer",Data!$C:$C,A180))</f>
        <v/>
      </c>
      <c r="E180" t="str">
        <f>IF(A180="","",COUNTIFS(Data!$I:$I,"Justin",Data!$J:$J,"Onboarded",Data!$C:$C,A180))</f>
        <v/>
      </c>
      <c r="F180" t="str">
        <f>IF(A180="","",COUNTIFS(Data!$I:$I,"Justin",Data!$J:$J,"Referral",Data!$C:$C,A180))</f>
        <v/>
      </c>
      <c r="G180" t="str">
        <f>IF(A180="","",COUNTIFS(Data!$I:$I,"Justin",Data!$J:$J,"Transfer",Data!$C:$C,A180))</f>
        <v/>
      </c>
      <c r="H180" t="str">
        <f>IF(A180="","",COUNTIFS(Data!$I:$I,"Reyna",Data!$J:$J,"Onboarded",Data!$C:$C,A180))</f>
        <v/>
      </c>
      <c r="I180" t="str">
        <f>IF(A180="","",COUNTIFS(Data!$I:$I,"Reyna",Data!$J:$J,"Referral",Data!$C:$C,A180))</f>
        <v/>
      </c>
      <c r="J180" t="str">
        <f>IF(A180="","",COUNTIFS(Data!$I:$I,"Reyna",Data!$J:$J,"Transfer",Data!$C:$C,A180))</f>
        <v/>
      </c>
      <c r="K180" t="str">
        <f t="shared" si="5"/>
        <v/>
      </c>
    </row>
    <row r="181" spans="2:11" x14ac:dyDescent="0.25">
      <c r="B181" t="str">
        <f>IF(A181="","",COUNTIFS(Data!$I:$I,"Kirk",Data!$J:$J,"Onboarded",Data!$C:$C,A181))</f>
        <v/>
      </c>
      <c r="C181" t="str">
        <f>IF(A181="","",COUNTIFS(Data!$I:$I,"Kirk",Data!$J:$J,"Referral",Data!$C:$C,A181))</f>
        <v/>
      </c>
      <c r="D181" t="str">
        <f>IF(A181="","",COUNTIFS(Data!$I:$I,"Kirk",Data!$J:$J,"Transfer",Data!$C:$C,A181))</f>
        <v/>
      </c>
      <c r="E181" t="str">
        <f>IF(A181="","",COUNTIFS(Data!$I:$I,"Justin",Data!$J:$J,"Onboarded",Data!$C:$C,A181))</f>
        <v/>
      </c>
      <c r="F181" t="str">
        <f>IF(A181="","",COUNTIFS(Data!$I:$I,"Justin",Data!$J:$J,"Referral",Data!$C:$C,A181))</f>
        <v/>
      </c>
      <c r="G181" t="str">
        <f>IF(A181="","",COUNTIFS(Data!$I:$I,"Justin",Data!$J:$J,"Transfer",Data!$C:$C,A181))</f>
        <v/>
      </c>
      <c r="H181" t="str">
        <f>IF(A181="","",COUNTIFS(Data!$I:$I,"Reyna",Data!$J:$J,"Onboarded",Data!$C:$C,A181))</f>
        <v/>
      </c>
      <c r="I181" t="str">
        <f>IF(A181="","",COUNTIFS(Data!$I:$I,"Reyna",Data!$J:$J,"Referral",Data!$C:$C,A181))</f>
        <v/>
      </c>
      <c r="J181" t="str">
        <f>IF(A181="","",COUNTIFS(Data!$I:$I,"Reyna",Data!$J:$J,"Transfer",Data!$C:$C,A181))</f>
        <v/>
      </c>
      <c r="K181" t="str">
        <f t="shared" si="5"/>
        <v/>
      </c>
    </row>
    <row r="182" spans="2:11" x14ac:dyDescent="0.25">
      <c r="B182" t="str">
        <f>IF(A182="","",COUNTIFS(Data!$I:$I,"Kirk",Data!$J:$J,"Onboarded",Data!$C:$C,A182))</f>
        <v/>
      </c>
      <c r="C182" t="str">
        <f>IF(A182="","",COUNTIFS(Data!$I:$I,"Kirk",Data!$J:$J,"Referral",Data!$C:$C,A182))</f>
        <v/>
      </c>
      <c r="D182" t="str">
        <f>IF(A182="","",COUNTIFS(Data!$I:$I,"Kirk",Data!$J:$J,"Transfer",Data!$C:$C,A182))</f>
        <v/>
      </c>
      <c r="E182" t="str">
        <f>IF(A182="","",COUNTIFS(Data!$I:$I,"Justin",Data!$J:$J,"Onboarded",Data!$C:$C,A182))</f>
        <v/>
      </c>
      <c r="F182" t="str">
        <f>IF(A182="","",COUNTIFS(Data!$I:$I,"Justin",Data!$J:$J,"Referral",Data!$C:$C,A182))</f>
        <v/>
      </c>
      <c r="G182" t="str">
        <f>IF(A182="","",COUNTIFS(Data!$I:$I,"Justin",Data!$J:$J,"Transfer",Data!$C:$C,A182))</f>
        <v/>
      </c>
      <c r="H182" t="str">
        <f>IF(A182="","",COUNTIFS(Data!$I:$I,"Reyna",Data!$J:$J,"Onboarded",Data!$C:$C,A182))</f>
        <v/>
      </c>
      <c r="I182" t="str">
        <f>IF(A182="","",COUNTIFS(Data!$I:$I,"Reyna",Data!$J:$J,"Referral",Data!$C:$C,A182))</f>
        <v/>
      </c>
      <c r="J182" t="str">
        <f>IF(A182="","",COUNTIFS(Data!$I:$I,"Reyna",Data!$J:$J,"Transfer",Data!$C:$C,A182))</f>
        <v/>
      </c>
      <c r="K182" t="str">
        <f t="shared" si="5"/>
        <v/>
      </c>
    </row>
    <row r="183" spans="2:11" x14ac:dyDescent="0.25">
      <c r="B183" t="str">
        <f>IF(A183="","",COUNTIFS(Data!$I:$I,"Kirk",Data!$J:$J,"Onboarded",Data!$C:$C,A183))</f>
        <v/>
      </c>
      <c r="C183" t="str">
        <f>IF(A183="","",COUNTIFS(Data!$I:$I,"Kirk",Data!$J:$J,"Referral",Data!$C:$C,A183))</f>
        <v/>
      </c>
      <c r="D183" t="str">
        <f>IF(A183="","",COUNTIFS(Data!$I:$I,"Kirk",Data!$J:$J,"Transfer",Data!$C:$C,A183))</f>
        <v/>
      </c>
      <c r="E183" t="str">
        <f>IF(A183="","",COUNTIFS(Data!$I:$I,"Justin",Data!$J:$J,"Onboarded",Data!$C:$C,A183))</f>
        <v/>
      </c>
      <c r="F183" t="str">
        <f>IF(A183="","",COUNTIFS(Data!$I:$I,"Justin",Data!$J:$J,"Referral",Data!$C:$C,A183))</f>
        <v/>
      </c>
      <c r="G183" t="str">
        <f>IF(A183="","",COUNTIFS(Data!$I:$I,"Justin",Data!$J:$J,"Transfer",Data!$C:$C,A183))</f>
        <v/>
      </c>
      <c r="H183" t="str">
        <f>IF(A183="","",COUNTIFS(Data!$I:$I,"Reyna",Data!$J:$J,"Onboarded",Data!$C:$C,A183))</f>
        <v/>
      </c>
      <c r="I183" t="str">
        <f>IF(A183="","",COUNTIFS(Data!$I:$I,"Reyna",Data!$J:$J,"Referral",Data!$C:$C,A183))</f>
        <v/>
      </c>
      <c r="J183" t="str">
        <f>IF(A183="","",COUNTIFS(Data!$I:$I,"Reyna",Data!$J:$J,"Transfer",Data!$C:$C,A183))</f>
        <v/>
      </c>
      <c r="K183" t="str">
        <f t="shared" si="5"/>
        <v/>
      </c>
    </row>
    <row r="184" spans="2:11" x14ac:dyDescent="0.25">
      <c r="B184" t="str">
        <f>IF(A184="","",COUNTIFS(Data!$I:$I,"Kirk",Data!$J:$J,"Onboarded",Data!$C:$C,A184))</f>
        <v/>
      </c>
      <c r="C184" t="str">
        <f>IF(A184="","",COUNTIFS(Data!$I:$I,"Kirk",Data!$J:$J,"Referral",Data!$C:$C,A184))</f>
        <v/>
      </c>
      <c r="D184" t="str">
        <f>IF(A184="","",COUNTIFS(Data!$I:$I,"Kirk",Data!$J:$J,"Transfer",Data!$C:$C,A184))</f>
        <v/>
      </c>
      <c r="E184" t="str">
        <f>IF(A184="","",COUNTIFS(Data!$I:$I,"Justin",Data!$J:$J,"Onboarded",Data!$C:$C,A184))</f>
        <v/>
      </c>
      <c r="F184" t="str">
        <f>IF(A184="","",COUNTIFS(Data!$I:$I,"Justin",Data!$J:$J,"Referral",Data!$C:$C,A184))</f>
        <v/>
      </c>
      <c r="G184" t="str">
        <f>IF(A184="","",COUNTIFS(Data!$I:$I,"Justin",Data!$J:$J,"Transfer",Data!$C:$C,A184))</f>
        <v/>
      </c>
      <c r="H184" t="str">
        <f>IF(A184="","",COUNTIFS(Data!$I:$I,"Reyna",Data!$J:$J,"Onboarded",Data!$C:$C,A184))</f>
        <v/>
      </c>
      <c r="I184" t="str">
        <f>IF(A184="","",COUNTIFS(Data!$I:$I,"Reyna",Data!$J:$J,"Referral",Data!$C:$C,A184))</f>
        <v/>
      </c>
      <c r="J184" t="str">
        <f>IF(A184="","",COUNTIFS(Data!$I:$I,"Reyna",Data!$J:$J,"Transfer",Data!$C:$C,A184))</f>
        <v/>
      </c>
      <c r="K184" t="str">
        <f t="shared" si="5"/>
        <v/>
      </c>
    </row>
    <row r="185" spans="2:11" x14ac:dyDescent="0.25">
      <c r="B185" t="str">
        <f>IF(A185="","",COUNTIFS(Data!$I:$I,"Kirk",Data!$J:$J,"Onboarded",Data!$C:$C,A185))</f>
        <v/>
      </c>
      <c r="C185" t="str">
        <f>IF(A185="","",COUNTIFS(Data!$I:$I,"Kirk",Data!$J:$J,"Referral",Data!$C:$C,A185))</f>
        <v/>
      </c>
      <c r="D185" t="str">
        <f>IF(A185="","",COUNTIFS(Data!$I:$I,"Kirk",Data!$J:$J,"Transfer",Data!$C:$C,A185))</f>
        <v/>
      </c>
      <c r="E185" t="str">
        <f>IF(A185="","",COUNTIFS(Data!$I:$I,"Justin",Data!$J:$J,"Onboarded",Data!$C:$C,A185))</f>
        <v/>
      </c>
      <c r="F185" t="str">
        <f>IF(A185="","",COUNTIFS(Data!$I:$I,"Justin",Data!$J:$J,"Referral",Data!$C:$C,A185))</f>
        <v/>
      </c>
      <c r="G185" t="str">
        <f>IF(A185="","",COUNTIFS(Data!$I:$I,"Justin",Data!$J:$J,"Transfer",Data!$C:$C,A185))</f>
        <v/>
      </c>
      <c r="H185" t="str">
        <f>IF(A185="","",COUNTIFS(Data!$I:$I,"Reyna",Data!$J:$J,"Onboarded",Data!$C:$C,A185))</f>
        <v/>
      </c>
      <c r="I185" t="str">
        <f>IF(A185="","",COUNTIFS(Data!$I:$I,"Reyna",Data!$J:$J,"Referral",Data!$C:$C,A185))</f>
        <v/>
      </c>
      <c r="J185" t="str">
        <f>IF(A185="","",COUNTIFS(Data!$I:$I,"Reyna",Data!$J:$J,"Transfer",Data!$C:$C,A185))</f>
        <v/>
      </c>
      <c r="K185" t="str">
        <f t="shared" si="5"/>
        <v/>
      </c>
    </row>
    <row r="186" spans="2:11" x14ac:dyDescent="0.25">
      <c r="B186" t="str">
        <f>IF(A186="","",COUNTIFS(Data!$I:$I,"Kirk",Data!$J:$J,"Onboarded",Data!$C:$C,A186))</f>
        <v/>
      </c>
      <c r="C186" t="str">
        <f>IF(A186="","",COUNTIFS(Data!$I:$I,"Kirk",Data!$J:$J,"Referral",Data!$C:$C,A186))</f>
        <v/>
      </c>
      <c r="D186" t="str">
        <f>IF(A186="","",COUNTIFS(Data!$I:$I,"Kirk",Data!$J:$J,"Transfer",Data!$C:$C,A186))</f>
        <v/>
      </c>
      <c r="E186" t="str">
        <f>IF(A186="","",COUNTIFS(Data!$I:$I,"Justin",Data!$J:$J,"Onboarded",Data!$C:$C,A186))</f>
        <v/>
      </c>
      <c r="F186" t="str">
        <f>IF(A186="","",COUNTIFS(Data!$I:$I,"Justin",Data!$J:$J,"Referral",Data!$C:$C,A186))</f>
        <v/>
      </c>
      <c r="G186" t="str">
        <f>IF(A186="","",COUNTIFS(Data!$I:$I,"Justin",Data!$J:$J,"Transfer",Data!$C:$C,A186))</f>
        <v/>
      </c>
      <c r="H186" t="str">
        <f>IF(A186="","",COUNTIFS(Data!$I:$I,"Reyna",Data!$J:$J,"Onboarded",Data!$C:$C,A186))</f>
        <v/>
      </c>
      <c r="I186" t="str">
        <f>IF(A186="","",COUNTIFS(Data!$I:$I,"Reyna",Data!$J:$J,"Referral",Data!$C:$C,A186))</f>
        <v/>
      </c>
      <c r="J186" t="str">
        <f>IF(A186="","",COUNTIFS(Data!$I:$I,"Reyna",Data!$J:$J,"Transfer",Data!$C:$C,A186))</f>
        <v/>
      </c>
      <c r="K186" t="str">
        <f t="shared" si="5"/>
        <v/>
      </c>
    </row>
    <row r="187" spans="2:11" x14ac:dyDescent="0.25">
      <c r="B187" t="str">
        <f>IF(A187="","",COUNTIFS(Data!$I:$I,"Kirk",Data!$J:$J,"Onboarded",Data!$C:$C,A187))</f>
        <v/>
      </c>
      <c r="C187" t="str">
        <f>IF(A187="","",COUNTIFS(Data!$I:$I,"Kirk",Data!$J:$J,"Referral",Data!$C:$C,A187))</f>
        <v/>
      </c>
      <c r="D187" t="str">
        <f>IF(A187="","",COUNTIFS(Data!$I:$I,"Kirk",Data!$J:$J,"Transfer",Data!$C:$C,A187))</f>
        <v/>
      </c>
      <c r="E187" t="str">
        <f>IF(A187="","",COUNTIFS(Data!$I:$I,"Justin",Data!$J:$J,"Onboarded",Data!$C:$C,A187))</f>
        <v/>
      </c>
      <c r="F187" t="str">
        <f>IF(A187="","",COUNTIFS(Data!$I:$I,"Justin",Data!$J:$J,"Referral",Data!$C:$C,A187))</f>
        <v/>
      </c>
      <c r="G187" t="str">
        <f>IF(A187="","",COUNTIFS(Data!$I:$I,"Justin",Data!$J:$J,"Transfer",Data!$C:$C,A187))</f>
        <v/>
      </c>
      <c r="H187" t="str">
        <f>IF(A187="","",COUNTIFS(Data!$I:$I,"Reyna",Data!$J:$J,"Onboarded",Data!$C:$C,A187))</f>
        <v/>
      </c>
      <c r="I187" t="str">
        <f>IF(A187="","",COUNTIFS(Data!$I:$I,"Reyna",Data!$J:$J,"Referral",Data!$C:$C,A187))</f>
        <v/>
      </c>
      <c r="J187" t="str">
        <f>IF(A187="","",COUNTIFS(Data!$I:$I,"Reyna",Data!$J:$J,"Transfer",Data!$C:$C,A187))</f>
        <v/>
      </c>
      <c r="K187" t="str">
        <f t="shared" si="5"/>
        <v/>
      </c>
    </row>
    <row r="188" spans="2:11" x14ac:dyDescent="0.25">
      <c r="B188" t="str">
        <f>IF(A188="","",COUNTIFS(Data!$I:$I,"Kirk",Data!$J:$J,"Onboarded",Data!$C:$C,A188))</f>
        <v/>
      </c>
      <c r="C188" t="str">
        <f>IF(A188="","",COUNTIFS(Data!$I:$I,"Kirk",Data!$J:$J,"Referral",Data!$C:$C,A188))</f>
        <v/>
      </c>
      <c r="D188" t="str">
        <f>IF(A188="","",COUNTIFS(Data!$I:$I,"Kirk",Data!$J:$J,"Transfer",Data!$C:$C,A188))</f>
        <v/>
      </c>
      <c r="E188" t="str">
        <f>IF(A188="","",COUNTIFS(Data!$I:$I,"Justin",Data!$J:$J,"Onboarded",Data!$C:$C,A188))</f>
        <v/>
      </c>
      <c r="F188" t="str">
        <f>IF(A188="","",COUNTIFS(Data!$I:$I,"Justin",Data!$J:$J,"Referral",Data!$C:$C,A188))</f>
        <v/>
      </c>
      <c r="G188" t="str">
        <f>IF(A188="","",COUNTIFS(Data!$I:$I,"Justin",Data!$J:$J,"Transfer",Data!$C:$C,A188))</f>
        <v/>
      </c>
      <c r="H188" t="str">
        <f>IF(A188="","",COUNTIFS(Data!$I:$I,"Reyna",Data!$J:$J,"Onboarded",Data!$C:$C,A188))</f>
        <v/>
      </c>
      <c r="I188" t="str">
        <f>IF(A188="","",COUNTIFS(Data!$I:$I,"Reyna",Data!$J:$J,"Referral",Data!$C:$C,A188))</f>
        <v/>
      </c>
      <c r="J188" t="str">
        <f>IF(A188="","",COUNTIFS(Data!$I:$I,"Reyna",Data!$J:$J,"Transfer",Data!$C:$C,A188))</f>
        <v/>
      </c>
      <c r="K188" t="str">
        <f t="shared" si="5"/>
        <v/>
      </c>
    </row>
    <row r="189" spans="2:11" x14ac:dyDescent="0.25">
      <c r="B189" t="str">
        <f>IF(A189="","",COUNTIFS(Data!$I:$I,"Kirk",Data!$J:$J,"Onboarded",Data!$C:$C,A189))</f>
        <v/>
      </c>
      <c r="C189" t="str">
        <f>IF(A189="","",COUNTIFS(Data!$I:$I,"Kirk",Data!$J:$J,"Referral",Data!$C:$C,A189))</f>
        <v/>
      </c>
      <c r="D189" t="str">
        <f>IF(A189="","",COUNTIFS(Data!$I:$I,"Kirk",Data!$J:$J,"Transfer",Data!$C:$C,A189))</f>
        <v/>
      </c>
      <c r="E189" t="str">
        <f>IF(A189="","",COUNTIFS(Data!$I:$I,"Justin",Data!$J:$J,"Onboarded",Data!$C:$C,A189))</f>
        <v/>
      </c>
      <c r="F189" t="str">
        <f>IF(A189="","",COUNTIFS(Data!$I:$I,"Justin",Data!$J:$J,"Referral",Data!$C:$C,A189))</f>
        <v/>
      </c>
      <c r="G189" t="str">
        <f>IF(A189="","",COUNTIFS(Data!$I:$I,"Justin",Data!$J:$J,"Transfer",Data!$C:$C,A189))</f>
        <v/>
      </c>
      <c r="H189" t="str">
        <f>IF(A189="","",COUNTIFS(Data!$I:$I,"Reyna",Data!$J:$J,"Onboarded",Data!$C:$C,A189))</f>
        <v/>
      </c>
      <c r="I189" t="str">
        <f>IF(A189="","",COUNTIFS(Data!$I:$I,"Reyna",Data!$J:$J,"Referral",Data!$C:$C,A189))</f>
        <v/>
      </c>
      <c r="J189" t="str">
        <f>IF(A189="","",COUNTIFS(Data!$I:$I,"Reyna",Data!$J:$J,"Transfer",Data!$C:$C,A189))</f>
        <v/>
      </c>
      <c r="K189" t="str">
        <f t="shared" si="5"/>
        <v/>
      </c>
    </row>
    <row r="190" spans="2:11" x14ac:dyDescent="0.25">
      <c r="B190" t="str">
        <f>IF(A190="","",COUNTIFS(Data!$I:$I,"Kirk",Data!$J:$J,"Onboarded",Data!$C:$C,A190))</f>
        <v/>
      </c>
      <c r="C190" t="str">
        <f>IF(A190="","",COUNTIFS(Data!$I:$I,"Kirk",Data!$J:$J,"Referral",Data!$C:$C,A190))</f>
        <v/>
      </c>
      <c r="D190" t="str">
        <f>IF(A190="","",COUNTIFS(Data!$I:$I,"Kirk",Data!$J:$J,"Transfer",Data!$C:$C,A190))</f>
        <v/>
      </c>
      <c r="E190" t="str">
        <f>IF(A190="","",COUNTIFS(Data!$I:$I,"Justin",Data!$J:$J,"Onboarded",Data!$C:$C,A190))</f>
        <v/>
      </c>
      <c r="F190" t="str">
        <f>IF(A190="","",COUNTIFS(Data!$I:$I,"Justin",Data!$J:$J,"Referral",Data!$C:$C,A190))</f>
        <v/>
      </c>
      <c r="G190" t="str">
        <f>IF(A190="","",COUNTIFS(Data!$I:$I,"Justin",Data!$J:$J,"Transfer",Data!$C:$C,A190))</f>
        <v/>
      </c>
      <c r="H190" t="str">
        <f>IF(A190="","",COUNTIFS(Data!$I:$I,"Reyna",Data!$J:$J,"Onboarded",Data!$C:$C,A190))</f>
        <v/>
      </c>
      <c r="I190" t="str">
        <f>IF(A190="","",COUNTIFS(Data!$I:$I,"Reyna",Data!$J:$J,"Referral",Data!$C:$C,A190))</f>
        <v/>
      </c>
      <c r="J190" t="str">
        <f>IF(A190="","",COUNTIFS(Data!$I:$I,"Reyna",Data!$J:$J,"Transfer",Data!$C:$C,A190))</f>
        <v/>
      </c>
      <c r="K190" t="str">
        <f t="shared" si="5"/>
        <v/>
      </c>
    </row>
    <row r="191" spans="2:11" x14ac:dyDescent="0.25">
      <c r="B191" t="str">
        <f>IF(A191="","",COUNTIFS(Data!$I:$I,"Kirk",Data!$J:$J,"Onboarded",Data!$C:$C,A191))</f>
        <v/>
      </c>
      <c r="C191" t="str">
        <f>IF(A191="","",COUNTIFS(Data!$I:$I,"Kirk",Data!$J:$J,"Referral",Data!$C:$C,A191))</f>
        <v/>
      </c>
      <c r="D191" t="str">
        <f>IF(A191="","",COUNTIFS(Data!$I:$I,"Kirk",Data!$J:$J,"Transfer",Data!$C:$C,A191))</f>
        <v/>
      </c>
      <c r="E191" t="str">
        <f>IF(A191="","",COUNTIFS(Data!$I:$I,"Justin",Data!$J:$J,"Onboarded",Data!$C:$C,A191))</f>
        <v/>
      </c>
      <c r="F191" t="str">
        <f>IF(A191="","",COUNTIFS(Data!$I:$I,"Justin",Data!$J:$J,"Referral",Data!$C:$C,A191))</f>
        <v/>
      </c>
      <c r="G191" t="str">
        <f>IF(A191="","",COUNTIFS(Data!$I:$I,"Justin",Data!$J:$J,"Transfer",Data!$C:$C,A191))</f>
        <v/>
      </c>
      <c r="H191" t="str">
        <f>IF(A191="","",COUNTIFS(Data!$I:$I,"Reyna",Data!$J:$J,"Onboarded",Data!$C:$C,A191))</f>
        <v/>
      </c>
      <c r="I191" t="str">
        <f>IF(A191="","",COUNTIFS(Data!$I:$I,"Reyna",Data!$J:$J,"Referral",Data!$C:$C,A191))</f>
        <v/>
      </c>
      <c r="J191" t="str">
        <f>IF(A191="","",COUNTIFS(Data!$I:$I,"Reyna",Data!$J:$J,"Transfer",Data!$C:$C,A191))</f>
        <v/>
      </c>
      <c r="K191" t="str">
        <f t="shared" si="5"/>
        <v/>
      </c>
    </row>
    <row r="192" spans="2:11" x14ac:dyDescent="0.25">
      <c r="B192" t="str">
        <f>IF(A192="","",COUNTIFS(Data!$I:$I,"Kirk",Data!$J:$J,"Onboarded",Data!$C:$C,A192))</f>
        <v/>
      </c>
      <c r="C192" t="str">
        <f>IF(A192="","",COUNTIFS(Data!$I:$I,"Kirk",Data!$J:$J,"Referral",Data!$C:$C,A192))</f>
        <v/>
      </c>
      <c r="D192" t="str">
        <f>IF(A192="","",COUNTIFS(Data!$I:$I,"Kirk",Data!$J:$J,"Transfer",Data!$C:$C,A192))</f>
        <v/>
      </c>
      <c r="E192" t="str">
        <f>IF(A192="","",COUNTIFS(Data!$I:$I,"Justin",Data!$J:$J,"Onboarded",Data!$C:$C,A192))</f>
        <v/>
      </c>
      <c r="F192" t="str">
        <f>IF(A192="","",COUNTIFS(Data!$I:$I,"Justin",Data!$J:$J,"Referral",Data!$C:$C,A192))</f>
        <v/>
      </c>
      <c r="G192" t="str">
        <f>IF(A192="","",COUNTIFS(Data!$I:$I,"Justin",Data!$J:$J,"Transfer",Data!$C:$C,A192))</f>
        <v/>
      </c>
      <c r="H192" t="str">
        <f>IF(A192="","",COUNTIFS(Data!$I:$I,"Reyna",Data!$J:$J,"Onboarded",Data!$C:$C,A192))</f>
        <v/>
      </c>
      <c r="I192" t="str">
        <f>IF(A192="","",COUNTIFS(Data!$I:$I,"Reyna",Data!$J:$J,"Referral",Data!$C:$C,A192))</f>
        <v/>
      </c>
      <c r="J192" t="str">
        <f>IF(A192="","",COUNTIFS(Data!$I:$I,"Reyna",Data!$J:$J,"Transfer",Data!$C:$C,A192))</f>
        <v/>
      </c>
      <c r="K192" t="str">
        <f t="shared" si="5"/>
        <v/>
      </c>
    </row>
    <row r="193" spans="2:11" x14ac:dyDescent="0.25">
      <c r="B193" t="str">
        <f>IF(A193="","",COUNTIFS(Data!$I:$I,"Kirk",Data!$J:$J,"Onboarded",Data!$C:$C,A193))</f>
        <v/>
      </c>
      <c r="C193" t="str">
        <f>IF(A193="","",COUNTIFS(Data!$I:$I,"Kirk",Data!$J:$J,"Referral",Data!$C:$C,A193))</f>
        <v/>
      </c>
      <c r="D193" t="str">
        <f>IF(A193="","",COUNTIFS(Data!$I:$I,"Kirk",Data!$J:$J,"Transfer",Data!$C:$C,A193))</f>
        <v/>
      </c>
      <c r="E193" t="str">
        <f>IF(A193="","",COUNTIFS(Data!$I:$I,"Justin",Data!$J:$J,"Onboarded",Data!$C:$C,A193))</f>
        <v/>
      </c>
      <c r="F193" t="str">
        <f>IF(A193="","",COUNTIFS(Data!$I:$I,"Justin",Data!$J:$J,"Referral",Data!$C:$C,A193))</f>
        <v/>
      </c>
      <c r="G193" t="str">
        <f>IF(A193="","",COUNTIFS(Data!$I:$I,"Justin",Data!$J:$J,"Transfer",Data!$C:$C,A193))</f>
        <v/>
      </c>
      <c r="H193" t="str">
        <f>IF(A193="","",COUNTIFS(Data!$I:$I,"Reyna",Data!$J:$J,"Onboarded",Data!$C:$C,A193))</f>
        <v/>
      </c>
      <c r="I193" t="str">
        <f>IF(A193="","",COUNTIFS(Data!$I:$I,"Reyna",Data!$J:$J,"Referral",Data!$C:$C,A193))</f>
        <v/>
      </c>
      <c r="J193" t="str">
        <f>IF(A193="","",COUNTIFS(Data!$I:$I,"Reyna",Data!$J:$J,"Transfer",Data!$C:$C,A193))</f>
        <v/>
      </c>
      <c r="K193" t="str">
        <f t="shared" si="5"/>
        <v/>
      </c>
    </row>
    <row r="194" spans="2:11" x14ac:dyDescent="0.25">
      <c r="B194" t="str">
        <f>IF(A194="","",COUNTIFS(Data!$I:$I,"Kirk",Data!$J:$J,"Onboarded",Data!$C:$C,A194))</f>
        <v/>
      </c>
      <c r="C194" t="str">
        <f>IF(A194="","",COUNTIFS(Data!$I:$I,"Kirk",Data!$J:$J,"Referral",Data!$C:$C,A194))</f>
        <v/>
      </c>
      <c r="D194" t="str">
        <f>IF(A194="","",COUNTIFS(Data!$I:$I,"Kirk",Data!$J:$J,"Transfer",Data!$C:$C,A194))</f>
        <v/>
      </c>
      <c r="E194" t="str">
        <f>IF(A194="","",COUNTIFS(Data!$I:$I,"Justin",Data!$J:$J,"Onboarded",Data!$C:$C,A194))</f>
        <v/>
      </c>
      <c r="F194" t="str">
        <f>IF(A194="","",COUNTIFS(Data!$I:$I,"Justin",Data!$J:$J,"Referral",Data!$C:$C,A194))</f>
        <v/>
      </c>
      <c r="G194" t="str">
        <f>IF(A194="","",COUNTIFS(Data!$I:$I,"Justin",Data!$J:$J,"Transfer",Data!$C:$C,A194))</f>
        <v/>
      </c>
      <c r="H194" t="str">
        <f>IF(A194="","",COUNTIFS(Data!$I:$I,"Reyna",Data!$J:$J,"Onboarded",Data!$C:$C,A194))</f>
        <v/>
      </c>
      <c r="I194" t="str">
        <f>IF(A194="","",COUNTIFS(Data!$I:$I,"Reyna",Data!$J:$J,"Referral",Data!$C:$C,A194))</f>
        <v/>
      </c>
      <c r="J194" t="str">
        <f>IF(A194="","",COUNTIFS(Data!$I:$I,"Reyna",Data!$J:$J,"Transfer",Data!$C:$C,A194))</f>
        <v/>
      </c>
      <c r="K194" t="str">
        <f t="shared" si="5"/>
        <v/>
      </c>
    </row>
    <row r="195" spans="2:11" x14ac:dyDescent="0.25">
      <c r="B195" t="str">
        <f>IF(A195="","",COUNTIFS(Data!$I:$I,"Kirk",Data!$J:$J,"Onboarded",Data!$C:$C,A195))</f>
        <v/>
      </c>
      <c r="C195" t="str">
        <f>IF(A195="","",COUNTIFS(Data!$I:$I,"Kirk",Data!$J:$J,"Referral",Data!$C:$C,A195))</f>
        <v/>
      </c>
      <c r="D195" t="str">
        <f>IF(A195="","",COUNTIFS(Data!$I:$I,"Kirk",Data!$J:$J,"Transfer",Data!$C:$C,A195))</f>
        <v/>
      </c>
      <c r="E195" t="str">
        <f>IF(A195="","",COUNTIFS(Data!$I:$I,"Justin",Data!$J:$J,"Onboarded",Data!$C:$C,A195))</f>
        <v/>
      </c>
      <c r="F195" t="str">
        <f>IF(A195="","",COUNTIFS(Data!$I:$I,"Justin",Data!$J:$J,"Referral",Data!$C:$C,A195))</f>
        <v/>
      </c>
      <c r="G195" t="str">
        <f>IF(A195="","",COUNTIFS(Data!$I:$I,"Justin",Data!$J:$J,"Transfer",Data!$C:$C,A195))</f>
        <v/>
      </c>
      <c r="H195" t="str">
        <f>IF(A195="","",COUNTIFS(Data!$I:$I,"Reyna",Data!$J:$J,"Onboarded",Data!$C:$C,A195))</f>
        <v/>
      </c>
      <c r="I195" t="str">
        <f>IF(A195="","",COUNTIFS(Data!$I:$I,"Reyna",Data!$J:$J,"Referral",Data!$C:$C,A195))</f>
        <v/>
      </c>
      <c r="J195" t="str">
        <f>IF(A195="","",COUNTIFS(Data!$I:$I,"Reyna",Data!$J:$J,"Transfer",Data!$C:$C,A195))</f>
        <v/>
      </c>
      <c r="K195" t="str">
        <f t="shared" si="5"/>
        <v/>
      </c>
    </row>
    <row r="196" spans="2:11" x14ac:dyDescent="0.25">
      <c r="B196" t="str">
        <f>IF(A196="","",COUNTIFS(Data!$I:$I,"Kirk",Data!$J:$J,"Onboarded",Data!$C:$C,A196))</f>
        <v/>
      </c>
      <c r="C196" t="str">
        <f>IF(A196="","",COUNTIFS(Data!$I:$I,"Kirk",Data!$J:$J,"Referral",Data!$C:$C,A196))</f>
        <v/>
      </c>
      <c r="D196" t="str">
        <f>IF(A196="","",COUNTIFS(Data!$I:$I,"Kirk",Data!$J:$J,"Transfer",Data!$C:$C,A196))</f>
        <v/>
      </c>
      <c r="E196" t="str">
        <f>IF(A196="","",COUNTIFS(Data!$I:$I,"Justin",Data!$J:$J,"Onboarded",Data!$C:$C,A196))</f>
        <v/>
      </c>
      <c r="F196" t="str">
        <f>IF(A196="","",COUNTIFS(Data!$I:$I,"Justin",Data!$J:$J,"Referral",Data!$C:$C,A196))</f>
        <v/>
      </c>
      <c r="G196" t="str">
        <f>IF(A196="","",COUNTIFS(Data!$I:$I,"Justin",Data!$J:$J,"Transfer",Data!$C:$C,A196))</f>
        <v/>
      </c>
      <c r="H196" t="str">
        <f>IF(A196="","",COUNTIFS(Data!$I:$I,"Reyna",Data!$J:$J,"Onboarded",Data!$C:$C,A196))</f>
        <v/>
      </c>
      <c r="I196" t="str">
        <f>IF(A196="","",COUNTIFS(Data!$I:$I,"Reyna",Data!$J:$J,"Referral",Data!$C:$C,A196))</f>
        <v/>
      </c>
      <c r="J196" t="str">
        <f>IF(A196="","",COUNTIFS(Data!$I:$I,"Reyna",Data!$J:$J,"Transfer",Data!$C:$C,A196))</f>
        <v/>
      </c>
      <c r="K196" t="str">
        <f t="shared" si="5"/>
        <v/>
      </c>
    </row>
    <row r="197" spans="2:11" x14ac:dyDescent="0.25">
      <c r="B197" t="str">
        <f>IF(A197="","",COUNTIFS(Data!$I:$I,"Kirk",Data!$J:$J,"Onboarded",Data!$C:$C,A197))</f>
        <v/>
      </c>
      <c r="C197" t="str">
        <f>IF(A197="","",COUNTIFS(Data!$I:$I,"Kirk",Data!$J:$J,"Referral",Data!$C:$C,A197))</f>
        <v/>
      </c>
      <c r="D197" t="str">
        <f>IF(A197="","",COUNTIFS(Data!$I:$I,"Kirk",Data!$J:$J,"Transfer",Data!$C:$C,A197))</f>
        <v/>
      </c>
      <c r="E197" t="str">
        <f>IF(A197="","",COUNTIFS(Data!$I:$I,"Justin",Data!$J:$J,"Onboarded",Data!$C:$C,A197))</f>
        <v/>
      </c>
      <c r="F197" t="str">
        <f>IF(A197="","",COUNTIFS(Data!$I:$I,"Justin",Data!$J:$J,"Referral",Data!$C:$C,A197))</f>
        <v/>
      </c>
      <c r="G197" t="str">
        <f>IF(A197="","",COUNTIFS(Data!$I:$I,"Justin",Data!$J:$J,"Transfer",Data!$C:$C,A197))</f>
        <v/>
      </c>
      <c r="H197" t="str">
        <f>IF(A197="","",COUNTIFS(Data!$I:$I,"Reyna",Data!$J:$J,"Onboarded",Data!$C:$C,A197))</f>
        <v/>
      </c>
      <c r="I197" t="str">
        <f>IF(A197="","",COUNTIFS(Data!$I:$I,"Reyna",Data!$J:$J,"Referral",Data!$C:$C,A197))</f>
        <v/>
      </c>
      <c r="J197" t="str">
        <f>IF(A197="","",COUNTIFS(Data!$I:$I,"Reyna",Data!$J:$J,"Transfer",Data!$C:$C,A197))</f>
        <v/>
      </c>
      <c r="K197" t="str">
        <f t="shared" si="5"/>
        <v/>
      </c>
    </row>
    <row r="198" spans="2:11" x14ac:dyDescent="0.25">
      <c r="B198" t="str">
        <f>IF(A198="","",COUNTIFS(Data!$I:$I,"Kirk",Data!$J:$J,"Onboarded",Data!$C:$C,A198))</f>
        <v/>
      </c>
      <c r="C198" t="str">
        <f>IF(A198="","",COUNTIFS(Data!$I:$I,"Kirk",Data!$J:$J,"Referral",Data!$C:$C,A198))</f>
        <v/>
      </c>
      <c r="D198" t="str">
        <f>IF(A198="","",COUNTIFS(Data!$I:$I,"Kirk",Data!$J:$J,"Transfer",Data!$C:$C,A198))</f>
        <v/>
      </c>
      <c r="E198" t="str">
        <f>IF(A198="","",COUNTIFS(Data!$I:$I,"Justin",Data!$J:$J,"Onboarded",Data!$C:$C,A198))</f>
        <v/>
      </c>
      <c r="F198" t="str">
        <f>IF(A198="","",COUNTIFS(Data!$I:$I,"Justin",Data!$J:$J,"Referral",Data!$C:$C,A198))</f>
        <v/>
      </c>
      <c r="G198" t="str">
        <f>IF(A198="","",COUNTIFS(Data!$I:$I,"Justin",Data!$J:$J,"Transfer",Data!$C:$C,A198))</f>
        <v/>
      </c>
      <c r="H198" t="str">
        <f>IF(A198="","",COUNTIFS(Data!$I:$I,"Reyna",Data!$J:$J,"Onboarded",Data!$C:$C,A198))</f>
        <v/>
      </c>
      <c r="I198" t="str">
        <f>IF(A198="","",COUNTIFS(Data!$I:$I,"Reyna",Data!$J:$J,"Referral",Data!$C:$C,A198))</f>
        <v/>
      </c>
      <c r="J198" t="str">
        <f>IF(A198="","",COUNTIFS(Data!$I:$I,"Reyna",Data!$J:$J,"Transfer",Data!$C:$C,A198))</f>
        <v/>
      </c>
      <c r="K198" t="str">
        <f t="shared" si="5"/>
        <v/>
      </c>
    </row>
    <row r="199" spans="2:11" x14ac:dyDescent="0.25">
      <c r="B199" t="str">
        <f>IF(A199="","",COUNTIFS(Data!$I:$I,"Kirk",Data!$J:$J,"Onboarded",Data!$C:$C,A199))</f>
        <v/>
      </c>
      <c r="C199" t="str">
        <f>IF(A199="","",COUNTIFS(Data!$I:$I,"Kirk",Data!$J:$J,"Referral",Data!$C:$C,A199))</f>
        <v/>
      </c>
      <c r="D199" t="str">
        <f>IF(A199="","",COUNTIFS(Data!$I:$I,"Kirk",Data!$J:$J,"Transfer",Data!$C:$C,A199))</f>
        <v/>
      </c>
      <c r="E199" t="str">
        <f>IF(A199="","",COUNTIFS(Data!$I:$I,"Justin",Data!$J:$J,"Onboarded",Data!$C:$C,A199))</f>
        <v/>
      </c>
      <c r="F199" t="str">
        <f>IF(A199="","",COUNTIFS(Data!$I:$I,"Justin",Data!$J:$J,"Referral",Data!$C:$C,A199))</f>
        <v/>
      </c>
      <c r="G199" t="str">
        <f>IF(A199="","",COUNTIFS(Data!$I:$I,"Justin",Data!$J:$J,"Transfer",Data!$C:$C,A199))</f>
        <v/>
      </c>
      <c r="H199" t="str">
        <f>IF(A199="","",COUNTIFS(Data!$I:$I,"Reyna",Data!$J:$J,"Onboarded",Data!$C:$C,A199))</f>
        <v/>
      </c>
      <c r="I199" t="str">
        <f>IF(A199="","",COUNTIFS(Data!$I:$I,"Reyna",Data!$J:$J,"Referral",Data!$C:$C,A199))</f>
        <v/>
      </c>
      <c r="J199" t="str">
        <f>IF(A199="","",COUNTIFS(Data!$I:$I,"Reyna",Data!$J:$J,"Transfer",Data!$C:$C,A199))</f>
        <v/>
      </c>
      <c r="K199" t="str">
        <f t="shared" si="5"/>
        <v/>
      </c>
    </row>
    <row r="200" spans="2:11" x14ac:dyDescent="0.25">
      <c r="B200" t="str">
        <f>IF(A200="","",COUNTIFS(Data!$I:$I,"Kirk",Data!$J:$J,"Onboarded",Data!$C:$C,A200))</f>
        <v/>
      </c>
      <c r="C200" t="str">
        <f>IF(A200="","",COUNTIFS(Data!$I:$I,"Kirk",Data!$J:$J,"Referral",Data!$C:$C,A200))</f>
        <v/>
      </c>
      <c r="D200" t="str">
        <f>IF(A200="","",COUNTIFS(Data!$I:$I,"Kirk",Data!$J:$J,"Transfer",Data!$C:$C,A200))</f>
        <v/>
      </c>
      <c r="E200" t="str">
        <f>IF(A200="","",COUNTIFS(Data!$I:$I,"Justin",Data!$J:$J,"Onboarded",Data!$C:$C,A200))</f>
        <v/>
      </c>
      <c r="F200" t="str">
        <f>IF(A200="","",COUNTIFS(Data!$I:$I,"Justin",Data!$J:$J,"Referral",Data!$C:$C,A200))</f>
        <v/>
      </c>
      <c r="G200" t="str">
        <f>IF(A200="","",COUNTIFS(Data!$I:$I,"Justin",Data!$J:$J,"Transfer",Data!$C:$C,A200))</f>
        <v/>
      </c>
      <c r="H200" t="str">
        <f>IF(A200="","",COUNTIFS(Data!$I:$I,"Reyna",Data!$J:$J,"Onboarded",Data!$C:$C,A200))</f>
        <v/>
      </c>
      <c r="I200" t="str">
        <f>IF(A200="","",COUNTIFS(Data!$I:$I,"Reyna",Data!$J:$J,"Referral",Data!$C:$C,A200))</f>
        <v/>
      </c>
      <c r="J200" t="str">
        <f>IF(A200="","",COUNTIFS(Data!$I:$I,"Reyna",Data!$J:$J,"Transfer",Data!$C:$C,A200))</f>
        <v/>
      </c>
      <c r="K200" t="str">
        <f t="shared" si="5"/>
        <v/>
      </c>
    </row>
    <row r="201" spans="2:11" x14ac:dyDescent="0.25">
      <c r="B201" t="str">
        <f>IF(A201="","",COUNTIFS(Data!$I:$I,"Kirk",Data!$J:$J,"Onboarded",Data!$C:$C,A201))</f>
        <v/>
      </c>
      <c r="C201" t="str">
        <f>IF(A201="","",COUNTIFS(Data!$I:$I,"Kirk",Data!$J:$J,"Referral",Data!$C:$C,A201))</f>
        <v/>
      </c>
      <c r="D201" t="str">
        <f>IF(A201="","",COUNTIFS(Data!$I:$I,"Kirk",Data!$J:$J,"Transfer",Data!$C:$C,A201))</f>
        <v/>
      </c>
      <c r="E201" t="str">
        <f>IF(A201="","",COUNTIFS(Data!$I:$I,"Justin",Data!$J:$J,"Onboarded",Data!$C:$C,A201))</f>
        <v/>
      </c>
      <c r="F201" t="str">
        <f>IF(A201="","",COUNTIFS(Data!$I:$I,"Justin",Data!$J:$J,"Referral",Data!$C:$C,A201))</f>
        <v/>
      </c>
      <c r="G201" t="str">
        <f>IF(A201="","",COUNTIFS(Data!$I:$I,"Justin",Data!$J:$J,"Transfer",Data!$C:$C,A201))</f>
        <v/>
      </c>
      <c r="H201" t="str">
        <f>IF(A201="","",COUNTIFS(Data!$I:$I,"Reyna",Data!$J:$J,"Onboarded",Data!$C:$C,A201))</f>
        <v/>
      </c>
      <c r="I201" t="str">
        <f>IF(A201="","",COUNTIFS(Data!$I:$I,"Reyna",Data!$J:$J,"Referral",Data!$C:$C,A201))</f>
        <v/>
      </c>
      <c r="J201" t="str">
        <f>IF(A201="","",COUNTIFS(Data!$I:$I,"Reyna",Data!$J:$J,"Transfer",Data!$C:$C,A201))</f>
        <v/>
      </c>
      <c r="K201" t="str">
        <f t="shared" si="5"/>
        <v/>
      </c>
    </row>
    <row r="202" spans="2:11" x14ac:dyDescent="0.25">
      <c r="B202" t="str">
        <f>IF(A202="","",COUNTIFS(Data!$I:$I,"Kirk",Data!$J:$J,"Onboarded",Data!$C:$C,A202))</f>
        <v/>
      </c>
      <c r="C202" t="str">
        <f>IF(A202="","",COUNTIFS(Data!$I:$I,"Kirk",Data!$J:$J,"Referral",Data!$C:$C,A202))</f>
        <v/>
      </c>
      <c r="D202" t="str">
        <f>IF(A202="","",COUNTIFS(Data!$I:$I,"Kirk",Data!$J:$J,"Transfer",Data!$C:$C,A202))</f>
        <v/>
      </c>
      <c r="E202" t="str">
        <f>IF(A202="","",COUNTIFS(Data!$I:$I,"Justin",Data!$J:$J,"Onboarded",Data!$C:$C,A202))</f>
        <v/>
      </c>
      <c r="F202" t="str">
        <f>IF(A202="","",COUNTIFS(Data!$I:$I,"Justin",Data!$J:$J,"Referral",Data!$C:$C,A202))</f>
        <v/>
      </c>
      <c r="G202" t="str">
        <f>IF(A202="","",COUNTIFS(Data!$I:$I,"Justin",Data!$J:$J,"Transfer",Data!$C:$C,A202))</f>
        <v/>
      </c>
      <c r="H202" t="str">
        <f>IF(A202="","",COUNTIFS(Data!$I:$I,"Reyna",Data!$J:$J,"Onboarded",Data!$C:$C,A202))</f>
        <v/>
      </c>
      <c r="I202" t="str">
        <f>IF(A202="","",COUNTIFS(Data!$I:$I,"Reyna",Data!$J:$J,"Referral",Data!$C:$C,A202))</f>
        <v/>
      </c>
      <c r="J202" t="str">
        <f>IF(A202="","",COUNTIFS(Data!$I:$I,"Reyna",Data!$J:$J,"Transfer",Data!$C:$C,A202))</f>
        <v/>
      </c>
      <c r="K202" t="str">
        <f t="shared" ref="K202:K233" si="6">IF(A202="","",SUM(B202:J202))</f>
        <v/>
      </c>
    </row>
    <row r="203" spans="2:11" x14ac:dyDescent="0.25">
      <c r="B203" t="str">
        <f>IF(A203="","",COUNTIFS(Data!$I:$I,"Kirk",Data!$J:$J,"Onboarded",Data!$C:$C,A203))</f>
        <v/>
      </c>
      <c r="C203" t="str">
        <f>IF(A203="","",COUNTIFS(Data!$I:$I,"Kirk",Data!$J:$J,"Referral",Data!$C:$C,A203))</f>
        <v/>
      </c>
      <c r="D203" t="str">
        <f>IF(A203="","",COUNTIFS(Data!$I:$I,"Kirk",Data!$J:$J,"Transfer",Data!$C:$C,A203))</f>
        <v/>
      </c>
      <c r="E203" t="str">
        <f>IF(A203="","",COUNTIFS(Data!$I:$I,"Justin",Data!$J:$J,"Onboarded",Data!$C:$C,A203))</f>
        <v/>
      </c>
      <c r="F203" t="str">
        <f>IF(A203="","",COUNTIFS(Data!$I:$I,"Justin",Data!$J:$J,"Referral",Data!$C:$C,A203))</f>
        <v/>
      </c>
      <c r="G203" t="str">
        <f>IF(A203="","",COUNTIFS(Data!$I:$I,"Justin",Data!$J:$J,"Transfer",Data!$C:$C,A203))</f>
        <v/>
      </c>
      <c r="H203" t="str">
        <f>IF(A203="","",COUNTIFS(Data!$I:$I,"Reyna",Data!$J:$J,"Onboarded",Data!$C:$C,A203))</f>
        <v/>
      </c>
      <c r="I203" t="str">
        <f>IF(A203="","",COUNTIFS(Data!$I:$I,"Reyna",Data!$J:$J,"Referral",Data!$C:$C,A203))</f>
        <v/>
      </c>
      <c r="J203" t="str">
        <f>IF(A203="","",COUNTIFS(Data!$I:$I,"Reyna",Data!$J:$J,"Transfer",Data!$C:$C,A203))</f>
        <v/>
      </c>
      <c r="K203" t="str">
        <f t="shared" si="6"/>
        <v/>
      </c>
    </row>
    <row r="204" spans="2:11" x14ac:dyDescent="0.25">
      <c r="B204" t="str">
        <f>IF(A204="","",COUNTIFS(Data!$I:$I,"Kirk",Data!$J:$J,"Onboarded",Data!$C:$C,A204))</f>
        <v/>
      </c>
      <c r="C204" t="str">
        <f>IF(A204="","",COUNTIFS(Data!$I:$I,"Kirk",Data!$J:$J,"Referral",Data!$C:$C,A204))</f>
        <v/>
      </c>
      <c r="D204" t="str">
        <f>IF(A204="","",COUNTIFS(Data!$I:$I,"Kirk",Data!$J:$J,"Transfer",Data!$C:$C,A204))</f>
        <v/>
      </c>
      <c r="E204" t="str">
        <f>IF(A204="","",COUNTIFS(Data!$I:$I,"Justin",Data!$J:$J,"Onboarded",Data!$C:$C,A204))</f>
        <v/>
      </c>
      <c r="F204" t="str">
        <f>IF(A204="","",COUNTIFS(Data!$I:$I,"Justin",Data!$J:$J,"Referral",Data!$C:$C,A204))</f>
        <v/>
      </c>
      <c r="G204" t="str">
        <f>IF(A204="","",COUNTIFS(Data!$I:$I,"Justin",Data!$J:$J,"Transfer",Data!$C:$C,A204))</f>
        <v/>
      </c>
      <c r="H204" t="str">
        <f>IF(A204="","",COUNTIFS(Data!$I:$I,"Reyna",Data!$J:$J,"Onboarded",Data!$C:$C,A204))</f>
        <v/>
      </c>
      <c r="I204" t="str">
        <f>IF(A204="","",COUNTIFS(Data!$I:$I,"Reyna",Data!$J:$J,"Referral",Data!$C:$C,A204))</f>
        <v/>
      </c>
      <c r="J204" t="str">
        <f>IF(A204="","",COUNTIFS(Data!$I:$I,"Reyna",Data!$J:$J,"Transfer",Data!$C:$C,A204))</f>
        <v/>
      </c>
      <c r="K204" t="str">
        <f t="shared" si="6"/>
        <v/>
      </c>
    </row>
    <row r="205" spans="2:11" x14ac:dyDescent="0.25">
      <c r="B205" t="str">
        <f>IF(A205="","",COUNTIFS(Data!$I:$I,"Kirk",Data!$J:$J,"Onboarded",Data!$C:$C,A205))</f>
        <v/>
      </c>
      <c r="C205" t="str">
        <f>IF(A205="","",COUNTIFS(Data!$I:$I,"Kirk",Data!$J:$J,"Referral",Data!$C:$C,A205))</f>
        <v/>
      </c>
      <c r="D205" t="str">
        <f>IF(A205="","",COUNTIFS(Data!$I:$I,"Kirk",Data!$J:$J,"Transfer",Data!$C:$C,A205))</f>
        <v/>
      </c>
      <c r="E205" t="str">
        <f>IF(A205="","",COUNTIFS(Data!$I:$I,"Justin",Data!$J:$J,"Onboarded",Data!$C:$C,A205))</f>
        <v/>
      </c>
      <c r="F205" t="str">
        <f>IF(A205="","",COUNTIFS(Data!$I:$I,"Justin",Data!$J:$J,"Referral",Data!$C:$C,A205))</f>
        <v/>
      </c>
      <c r="G205" t="str">
        <f>IF(A205="","",COUNTIFS(Data!$I:$I,"Justin",Data!$J:$J,"Transfer",Data!$C:$C,A205))</f>
        <v/>
      </c>
      <c r="H205" t="str">
        <f>IF(A205="","",COUNTIFS(Data!$I:$I,"Reyna",Data!$J:$J,"Onboarded",Data!$C:$C,A205))</f>
        <v/>
      </c>
      <c r="I205" t="str">
        <f>IF(A205="","",COUNTIFS(Data!$I:$I,"Reyna",Data!$J:$J,"Referral",Data!$C:$C,A205))</f>
        <v/>
      </c>
      <c r="J205" t="str">
        <f>IF(A205="","",COUNTIFS(Data!$I:$I,"Reyna",Data!$J:$J,"Transfer",Data!$C:$C,A205))</f>
        <v/>
      </c>
      <c r="K205" t="str">
        <f t="shared" si="6"/>
        <v/>
      </c>
    </row>
    <row r="206" spans="2:11" x14ac:dyDescent="0.25">
      <c r="B206" t="str">
        <f>IF(A206="","",COUNTIFS(Data!$I:$I,"Kirk",Data!$J:$J,"Onboarded",Data!$C:$C,A206))</f>
        <v/>
      </c>
      <c r="C206" t="str">
        <f>IF(A206="","",COUNTIFS(Data!$I:$I,"Kirk",Data!$J:$J,"Referral",Data!$C:$C,A206))</f>
        <v/>
      </c>
      <c r="D206" t="str">
        <f>IF(A206="","",COUNTIFS(Data!$I:$I,"Kirk",Data!$J:$J,"Transfer",Data!$C:$C,A206))</f>
        <v/>
      </c>
      <c r="E206" t="str">
        <f>IF(A206="","",COUNTIFS(Data!$I:$I,"Justin",Data!$J:$J,"Onboarded",Data!$C:$C,A206))</f>
        <v/>
      </c>
      <c r="F206" t="str">
        <f>IF(A206="","",COUNTIFS(Data!$I:$I,"Justin",Data!$J:$J,"Referral",Data!$C:$C,A206))</f>
        <v/>
      </c>
      <c r="G206" t="str">
        <f>IF(A206="","",COUNTIFS(Data!$I:$I,"Justin",Data!$J:$J,"Transfer",Data!$C:$C,A206))</f>
        <v/>
      </c>
      <c r="H206" t="str">
        <f>IF(A206="","",COUNTIFS(Data!$I:$I,"Reyna",Data!$J:$J,"Onboarded",Data!$C:$C,A206))</f>
        <v/>
      </c>
      <c r="I206" t="str">
        <f>IF(A206="","",COUNTIFS(Data!$I:$I,"Reyna",Data!$J:$J,"Referral",Data!$C:$C,A206))</f>
        <v/>
      </c>
      <c r="J206" t="str">
        <f>IF(A206="","",COUNTIFS(Data!$I:$I,"Reyna",Data!$J:$J,"Transfer",Data!$C:$C,A206))</f>
        <v/>
      </c>
      <c r="K206" t="str">
        <f t="shared" si="6"/>
        <v/>
      </c>
    </row>
    <row r="207" spans="2:11" x14ac:dyDescent="0.25">
      <c r="B207" t="str">
        <f>IF(A207="","",COUNTIFS(Data!$I:$I,"Kirk",Data!$J:$J,"Onboarded",Data!$C:$C,A207))</f>
        <v/>
      </c>
      <c r="C207" t="str">
        <f>IF(A207="","",COUNTIFS(Data!$I:$I,"Kirk",Data!$J:$J,"Referral",Data!$C:$C,A207))</f>
        <v/>
      </c>
      <c r="D207" t="str">
        <f>IF(A207="","",COUNTIFS(Data!$I:$I,"Kirk",Data!$J:$J,"Transfer",Data!$C:$C,A207))</f>
        <v/>
      </c>
      <c r="E207" t="str">
        <f>IF(A207="","",COUNTIFS(Data!$I:$I,"Justin",Data!$J:$J,"Onboarded",Data!$C:$C,A207))</f>
        <v/>
      </c>
      <c r="F207" t="str">
        <f>IF(A207="","",COUNTIFS(Data!$I:$I,"Justin",Data!$J:$J,"Referral",Data!$C:$C,A207))</f>
        <v/>
      </c>
      <c r="G207" t="str">
        <f>IF(A207="","",COUNTIFS(Data!$I:$I,"Justin",Data!$J:$J,"Transfer",Data!$C:$C,A207))</f>
        <v/>
      </c>
      <c r="H207" t="str">
        <f>IF(A207="","",COUNTIFS(Data!$I:$I,"Reyna",Data!$J:$J,"Onboarded",Data!$C:$C,A207))</f>
        <v/>
      </c>
      <c r="I207" t="str">
        <f>IF(A207="","",COUNTIFS(Data!$I:$I,"Reyna",Data!$J:$J,"Referral",Data!$C:$C,A207))</f>
        <v/>
      </c>
      <c r="J207" t="str">
        <f>IF(A207="","",COUNTIFS(Data!$I:$I,"Reyna",Data!$J:$J,"Transfer",Data!$C:$C,A207))</f>
        <v/>
      </c>
      <c r="K207" t="str">
        <f t="shared" si="6"/>
        <v/>
      </c>
    </row>
    <row r="208" spans="2:11" x14ac:dyDescent="0.25">
      <c r="B208" t="str">
        <f>IF(A208="","",COUNTIFS(Data!$I:$I,"Kirk",Data!$J:$J,"Onboarded",Data!$C:$C,A208))</f>
        <v/>
      </c>
      <c r="C208" t="str">
        <f>IF(A208="","",COUNTIFS(Data!$I:$I,"Kirk",Data!$J:$J,"Referral",Data!$C:$C,A208))</f>
        <v/>
      </c>
      <c r="D208" t="str">
        <f>IF(A208="","",COUNTIFS(Data!$I:$I,"Kirk",Data!$J:$J,"Transfer",Data!$C:$C,A208))</f>
        <v/>
      </c>
      <c r="E208" t="str">
        <f>IF(A208="","",COUNTIFS(Data!$I:$I,"Justin",Data!$J:$J,"Onboarded",Data!$C:$C,A208))</f>
        <v/>
      </c>
      <c r="F208" t="str">
        <f>IF(A208="","",COUNTIFS(Data!$I:$I,"Justin",Data!$J:$J,"Referral",Data!$C:$C,A208))</f>
        <v/>
      </c>
      <c r="G208" t="str">
        <f>IF(A208="","",COUNTIFS(Data!$I:$I,"Justin",Data!$J:$J,"Transfer",Data!$C:$C,A208))</f>
        <v/>
      </c>
      <c r="H208" t="str">
        <f>IF(A208="","",COUNTIFS(Data!$I:$I,"Reyna",Data!$J:$J,"Onboarded",Data!$C:$C,A208))</f>
        <v/>
      </c>
      <c r="I208" t="str">
        <f>IF(A208="","",COUNTIFS(Data!$I:$I,"Reyna",Data!$J:$J,"Referral",Data!$C:$C,A208))</f>
        <v/>
      </c>
      <c r="J208" t="str">
        <f>IF(A208="","",COUNTIFS(Data!$I:$I,"Reyna",Data!$J:$J,"Transfer",Data!$C:$C,A208))</f>
        <v/>
      </c>
      <c r="K208" t="str">
        <f t="shared" si="6"/>
        <v/>
      </c>
    </row>
    <row r="209" spans="2:11" x14ac:dyDescent="0.25">
      <c r="B209" t="str">
        <f>IF(A209="","",COUNTIFS(Data!$I:$I,"Kirk",Data!$J:$J,"Onboarded",Data!$C:$C,A209))</f>
        <v/>
      </c>
      <c r="C209" t="str">
        <f>IF(A209="","",COUNTIFS(Data!$I:$I,"Kirk",Data!$J:$J,"Referral",Data!$C:$C,A209))</f>
        <v/>
      </c>
      <c r="D209" t="str">
        <f>IF(A209="","",COUNTIFS(Data!$I:$I,"Kirk",Data!$J:$J,"Transfer",Data!$C:$C,A209))</f>
        <v/>
      </c>
      <c r="E209" t="str">
        <f>IF(A209="","",COUNTIFS(Data!$I:$I,"Justin",Data!$J:$J,"Onboarded",Data!$C:$C,A209))</f>
        <v/>
      </c>
      <c r="F209" t="str">
        <f>IF(A209="","",COUNTIFS(Data!$I:$I,"Justin",Data!$J:$J,"Referral",Data!$C:$C,A209))</f>
        <v/>
      </c>
      <c r="G209" t="str">
        <f>IF(A209="","",COUNTIFS(Data!$I:$I,"Justin",Data!$J:$J,"Transfer",Data!$C:$C,A209))</f>
        <v/>
      </c>
      <c r="H209" t="str">
        <f>IF(A209="","",COUNTIFS(Data!$I:$I,"Reyna",Data!$J:$J,"Onboarded",Data!$C:$C,A209))</f>
        <v/>
      </c>
      <c r="I209" t="str">
        <f>IF(A209="","",COUNTIFS(Data!$I:$I,"Reyna",Data!$J:$J,"Referral",Data!$C:$C,A209))</f>
        <v/>
      </c>
      <c r="J209" t="str">
        <f>IF(A209="","",COUNTIFS(Data!$I:$I,"Reyna",Data!$J:$J,"Transfer",Data!$C:$C,A209))</f>
        <v/>
      </c>
      <c r="K209" t="str">
        <f t="shared" si="6"/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5" x14ac:dyDescent="0.25"/>
  <sheetData>
    <row r="1" spans="1:1" x14ac:dyDescent="0.25">
      <c r="A1" t="s">
        <v>30</v>
      </c>
    </row>
    <row r="3" spans="1:1" x14ac:dyDescent="0.25">
      <c r="A3" t="s">
        <v>31</v>
      </c>
    </row>
    <row r="4" spans="1:1" x14ac:dyDescent="0.25">
      <c r="A4" t="s">
        <v>32</v>
      </c>
    </row>
    <row r="5" spans="1:1" x14ac:dyDescent="0.25">
      <c r="A5" t="s">
        <v>33</v>
      </c>
    </row>
    <row r="6" spans="1:1" x14ac:dyDescent="0.25">
      <c r="A6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Manriquez</cp:lastModifiedBy>
  <dcterms:created xsi:type="dcterms:W3CDTF">2026-01-08T22:58:35Z</dcterms:created>
  <dcterms:modified xsi:type="dcterms:W3CDTF">2026-01-09T22:15:19Z</dcterms:modified>
</cp:coreProperties>
</file>